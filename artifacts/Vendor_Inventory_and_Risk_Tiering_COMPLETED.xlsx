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w Williams\Documents\GRC\Third Party Risk Management\Vendor Inventory and Risk-Tiering\"/>
    </mc:Choice>
  </mc:AlternateContent>
  <xr:revisionPtr revIDLastSave="0" documentId="8_{6472638E-A5B0-4BC9-9050-511F2081DA11}" xr6:coauthVersionLast="47" xr6:coauthVersionMax="47" xr10:uidLastSave="{00000000-0000-0000-0000-000000000000}"/>
  <bookViews>
    <workbookView xWindow="-107" yWindow="-107" windowWidth="20847" windowHeight="11111" tabRatio="763" activeTab="4" xr2:uid="{00000000-000D-0000-FFFF-FFFF00000000}"/>
  </bookViews>
  <sheets>
    <sheet name="Tiering Methodology" sheetId="2" r:id="rId1"/>
    <sheet name="Lists" sheetId="7" r:id="rId2"/>
    <sheet name="Vendor Inventory" sheetId="3" r:id="rId3"/>
    <sheet name="Risk Assessment" sheetId="4" r:id="rId4"/>
    <sheet name="Tiering Results" sheetId="5" r:id="rId5"/>
    <sheet name="Dashboard" sheetId="6" r:id="rId6"/>
    <sheet name="Executive Summary"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6" l="1"/>
  <c r="E9" i="6"/>
  <c r="E8" i="6"/>
  <c r="B6" i="6"/>
  <c r="K24" i="5"/>
  <c r="B24" i="5"/>
  <c r="K23" i="5"/>
  <c r="B23" i="5"/>
  <c r="K22" i="5"/>
  <c r="B22" i="5"/>
  <c r="K21" i="5"/>
  <c r="B21" i="5"/>
  <c r="K20" i="5"/>
  <c r="B20" i="5"/>
  <c r="K19" i="5"/>
  <c r="B19" i="5"/>
  <c r="K18" i="5"/>
  <c r="B18" i="5"/>
  <c r="K17" i="5"/>
  <c r="B17" i="5"/>
  <c r="K16" i="5"/>
  <c r="B16" i="5"/>
  <c r="K15" i="5"/>
  <c r="B15" i="5"/>
  <c r="K14" i="5"/>
  <c r="B14" i="5"/>
  <c r="K13" i="5"/>
  <c r="B13" i="5"/>
  <c r="K12" i="5"/>
  <c r="B12" i="5"/>
  <c r="K11" i="5"/>
  <c r="B11" i="5"/>
  <c r="K10" i="5"/>
  <c r="B10" i="5"/>
  <c r="K9" i="5"/>
  <c r="B9" i="5"/>
  <c r="K8" i="5"/>
  <c r="B8" i="5"/>
  <c r="K7" i="5"/>
  <c r="B7" i="5"/>
  <c r="K6" i="5"/>
  <c r="B6" i="5"/>
  <c r="K5" i="5"/>
  <c r="B5" i="5"/>
  <c r="K24" i="4"/>
  <c r="E24" i="5" s="1"/>
  <c r="I24" i="4"/>
  <c r="B24" i="4"/>
  <c r="K23" i="4"/>
  <c r="E23" i="5" s="1"/>
  <c r="I23" i="4"/>
  <c r="B23" i="4"/>
  <c r="K22" i="4"/>
  <c r="E22" i="5" s="1"/>
  <c r="I22" i="4"/>
  <c r="B22" i="4"/>
  <c r="K21" i="4"/>
  <c r="E21" i="5" s="1"/>
  <c r="I21" i="4"/>
  <c r="B21" i="4"/>
  <c r="K20" i="4"/>
  <c r="E20" i="5" s="1"/>
  <c r="I20" i="4"/>
  <c r="B20" i="4"/>
  <c r="K19" i="4"/>
  <c r="E19" i="5" s="1"/>
  <c r="I19" i="4"/>
  <c r="B19" i="4"/>
  <c r="K18" i="4"/>
  <c r="E18" i="5" s="1"/>
  <c r="I18" i="4"/>
  <c r="B18" i="4"/>
  <c r="K17" i="4"/>
  <c r="E17" i="5" s="1"/>
  <c r="I17" i="4"/>
  <c r="B17" i="4"/>
  <c r="K16" i="4"/>
  <c r="E16" i="5" s="1"/>
  <c r="I16" i="4"/>
  <c r="B16" i="4"/>
  <c r="K15" i="4"/>
  <c r="E15" i="5" s="1"/>
  <c r="I15" i="4"/>
  <c r="B15" i="4"/>
  <c r="K14" i="4"/>
  <c r="E14" i="5" s="1"/>
  <c r="I14" i="4"/>
  <c r="B14" i="4"/>
  <c r="K13" i="4"/>
  <c r="E13" i="5" s="1"/>
  <c r="I13" i="4"/>
  <c r="B13" i="4"/>
  <c r="K12" i="4"/>
  <c r="E12" i="5" s="1"/>
  <c r="I12" i="4"/>
  <c r="B12" i="4"/>
  <c r="K11" i="4"/>
  <c r="E11" i="5" s="1"/>
  <c r="I11" i="4"/>
  <c r="B11" i="4"/>
  <c r="K10" i="4"/>
  <c r="E10" i="5" s="1"/>
  <c r="I10" i="4"/>
  <c r="B10" i="4"/>
  <c r="K9" i="4"/>
  <c r="E9" i="5" s="1"/>
  <c r="I9" i="4"/>
  <c r="B9" i="4"/>
  <c r="K8" i="4"/>
  <c r="E8" i="5" s="1"/>
  <c r="I8" i="4"/>
  <c r="B8" i="4"/>
  <c r="K7" i="4"/>
  <c r="I7" i="4"/>
  <c r="B7" i="4"/>
  <c r="K6" i="4"/>
  <c r="E6" i="5" s="1"/>
  <c r="I6" i="4"/>
  <c r="B6" i="4"/>
  <c r="K5" i="4"/>
  <c r="E5" i="5" s="1"/>
  <c r="I5" i="4"/>
  <c r="B5" i="4"/>
  <c r="B12" i="2"/>
  <c r="B7" i="1"/>
  <c r="C24" i="5" l="1"/>
  <c r="J24" i="4"/>
  <c r="D24" i="5" s="1"/>
  <c r="F24" i="5" s="1"/>
  <c r="H24" i="5" s="1"/>
  <c r="C23" i="5"/>
  <c r="J23" i="4"/>
  <c r="D23" i="5" s="1"/>
  <c r="F23" i="5" s="1"/>
  <c r="H23" i="5" s="1"/>
  <c r="C22" i="5"/>
  <c r="J22" i="4"/>
  <c r="D22" i="5" s="1"/>
  <c r="F22" i="5" s="1"/>
  <c r="H22" i="5" s="1"/>
  <c r="C21" i="5"/>
  <c r="J21" i="4"/>
  <c r="D21" i="5" s="1"/>
  <c r="F21" i="5" s="1"/>
  <c r="H21" i="5" s="1"/>
  <c r="J20" i="4"/>
  <c r="D20" i="5" s="1"/>
  <c r="F20" i="5" s="1"/>
  <c r="H20" i="5" s="1"/>
  <c r="C20" i="5"/>
  <c r="C19" i="5"/>
  <c r="J19" i="4"/>
  <c r="D19" i="5" s="1"/>
  <c r="F19" i="5" s="1"/>
  <c r="H19" i="5" s="1"/>
  <c r="J18" i="4"/>
  <c r="D18" i="5" s="1"/>
  <c r="F18" i="5" s="1"/>
  <c r="H18" i="5" s="1"/>
  <c r="C18" i="5"/>
  <c r="J17" i="4"/>
  <c r="D17" i="5" s="1"/>
  <c r="F17" i="5" s="1"/>
  <c r="H17" i="5" s="1"/>
  <c r="C17" i="5"/>
  <c r="C16" i="5"/>
  <c r="J16" i="4"/>
  <c r="D16" i="5" s="1"/>
  <c r="F16" i="5" s="1"/>
  <c r="H16" i="5" s="1"/>
  <c r="C15" i="5"/>
  <c r="J15" i="4"/>
  <c r="D15" i="5" s="1"/>
  <c r="F15" i="5" s="1"/>
  <c r="H15" i="5" s="1"/>
  <c r="C14" i="5"/>
  <c r="J14" i="4"/>
  <c r="D14" i="5" s="1"/>
  <c r="F14" i="5" s="1"/>
  <c r="H14" i="5" s="1"/>
  <c r="C13" i="5"/>
  <c r="J13" i="4"/>
  <c r="D13" i="5" s="1"/>
  <c r="F13" i="5" s="1"/>
  <c r="H13" i="5" s="1"/>
  <c r="J12" i="4"/>
  <c r="D12" i="5" s="1"/>
  <c r="F12" i="5" s="1"/>
  <c r="H12" i="5" s="1"/>
  <c r="C12" i="5"/>
  <c r="C11" i="5"/>
  <c r="J11" i="4"/>
  <c r="D11" i="5" s="1"/>
  <c r="F11" i="5" s="1"/>
  <c r="H11" i="5" s="1"/>
  <c r="J10" i="4"/>
  <c r="D10" i="5" s="1"/>
  <c r="F10" i="5" s="1"/>
  <c r="H10" i="5" s="1"/>
  <c r="C10" i="5"/>
  <c r="C9" i="5"/>
  <c r="J9" i="4"/>
  <c r="D9" i="5" s="1"/>
  <c r="F9" i="5" s="1"/>
  <c r="H9" i="5" s="1"/>
  <c r="C8" i="5"/>
  <c r="J8" i="4"/>
  <c r="D8" i="5" s="1"/>
  <c r="F8" i="5" s="1"/>
  <c r="H8" i="5" s="1"/>
  <c r="E7" i="5"/>
  <c r="E7" i="6"/>
  <c r="C7" i="5"/>
  <c r="J7" i="4"/>
  <c r="D7" i="5" s="1"/>
  <c r="F7" i="5" s="1"/>
  <c r="H7" i="5" s="1"/>
  <c r="J6" i="4"/>
  <c r="D6" i="5" s="1"/>
  <c r="F6" i="5" s="1"/>
  <c r="H6" i="5" s="1"/>
  <c r="C6" i="5"/>
  <c r="C5" i="5"/>
  <c r="J5" i="4"/>
  <c r="I24" i="5" l="1"/>
  <c r="J24" i="5"/>
  <c r="I23" i="5"/>
  <c r="J23" i="5"/>
  <c r="I22" i="5"/>
  <c r="J22" i="5"/>
  <c r="I21" i="5"/>
  <c r="J21" i="5"/>
  <c r="I20" i="5"/>
  <c r="J20" i="5"/>
  <c r="I19" i="5"/>
  <c r="J19" i="5"/>
  <c r="J18" i="5"/>
  <c r="I18" i="5"/>
  <c r="I17" i="5"/>
  <c r="J17" i="5"/>
  <c r="I16" i="5"/>
  <c r="J16" i="5"/>
  <c r="I15" i="5"/>
  <c r="J15" i="5"/>
  <c r="I14" i="5"/>
  <c r="J14" i="5"/>
  <c r="I13" i="5"/>
  <c r="J13" i="5"/>
  <c r="I12" i="5"/>
  <c r="J12" i="5"/>
  <c r="I11" i="5"/>
  <c r="J11" i="5"/>
  <c r="I10" i="5"/>
  <c r="J10" i="5"/>
  <c r="J9" i="5"/>
  <c r="I9" i="5"/>
  <c r="J8" i="5"/>
  <c r="I8" i="5"/>
  <c r="J7" i="5"/>
  <c r="I7" i="5"/>
  <c r="I6" i="5"/>
  <c r="J6" i="5"/>
  <c r="D5" i="5"/>
  <c r="F5" i="5" s="1"/>
  <c r="H5" i="5" s="1"/>
  <c r="E6" i="6"/>
  <c r="J5" i="5" l="1"/>
  <c r="I5" i="5"/>
  <c r="B7" i="6"/>
  <c r="B13" i="6" s="1"/>
  <c r="B9" i="6"/>
  <c r="B15" i="6" s="1"/>
  <c r="B9" i="1"/>
  <c r="B10" i="1"/>
  <c r="B8" i="6"/>
  <c r="B14" i="6" s="1"/>
  <c r="B8" i="1"/>
</calcChain>
</file>

<file path=xl/sharedStrings.xml><?xml version="1.0" encoding="utf-8"?>
<sst xmlns="http://schemas.openxmlformats.org/spreadsheetml/2006/main" count="566" uniqueCount="357">
  <si>
    <t>Vendor Inventory &amp; Risk-Tiering Project</t>
  </si>
  <si>
    <t>Purpose: identify which third parties require the deepest due diligence, monitoring, and executive attention.</t>
  </si>
  <si>
    <t>Portfolio Overview</t>
  </si>
  <si>
    <t>Metric</t>
  </si>
  <si>
    <t>Result</t>
  </si>
  <si>
    <t>Executive Narrative</t>
  </si>
  <si>
    <t>Total vendors entered</t>
  </si>
  <si>
    <t>Tier 1 vendors</t>
  </si>
  <si>
    <t>Tier 2 vendors</t>
  </si>
  <si>
    <t>Tier 3 vendors</t>
  </si>
  <si>
    <t>Key Risk Themes</t>
  </si>
  <si>
    <t>Theme</t>
  </si>
  <si>
    <t>Observation / Evidence</t>
  </si>
  <si>
    <t>Affected Vendors</t>
  </si>
  <si>
    <t>Management Impact</t>
  </si>
  <si>
    <t>Recommended Action</t>
  </si>
  <si>
    <t>Owner</t>
  </si>
  <si>
    <t>Target Date</t>
  </si>
  <si>
    <t>Status</t>
  </si>
  <si>
    <t>Management Recommendations</t>
  </si>
  <si>
    <t>Tiering Methodology</t>
  </si>
  <si>
    <t>Rate each factor from 1 (lowest inherent risk) to 5 (highest inherent risk).</t>
  </si>
  <si>
    <t>Risk Factor</t>
  </si>
  <si>
    <t>Weight</t>
  </si>
  <si>
    <t>What It Measures</t>
  </si>
  <si>
    <t>Rating Guidance</t>
  </si>
  <si>
    <t>Tier</t>
  </si>
  <si>
    <t>Risk Score</t>
  </si>
  <si>
    <t>Expected Treatment</t>
  </si>
  <si>
    <t>Business Criticality</t>
  </si>
  <si>
    <t>Impact if the vendor service fails or is unavailable.</t>
  </si>
  <si>
    <t>1 = minimal impact; 5 = severe operational disruption or mission-critical service.</t>
  </si>
  <si>
    <t>Tier 1</t>
  </si>
  <si>
    <t>75–100 or automatic trigger</t>
  </si>
  <si>
    <t>Enhanced due diligence, evidence validation, executive visibility, annual or more frequent reassessment.</t>
  </si>
  <si>
    <t>Data Sensitivity</t>
  </si>
  <si>
    <t>Sensitivity of information processed, stored, transmitted, or accessed.</t>
  </si>
  <si>
    <t>1 = public data; 5 = highly restricted personal, financial, health, or proprietary data.</t>
  </si>
  <si>
    <t>Tier 2</t>
  </si>
  <si>
    <t>45–74.99</t>
  </si>
  <si>
    <t>Standard security assessment, contract review, risk-based evidence, reassessment every 2 years.</t>
  </si>
  <si>
    <t>System Access</t>
  </si>
  <si>
    <t>Level of logical, network, application, API, or physical access.</t>
  </si>
  <si>
    <t>1 = no access; 5 = privileged, administrative, persistent, or broad production access.</t>
  </si>
  <si>
    <t>Tier 3</t>
  </si>
  <si>
    <t>Below 45</t>
  </si>
  <si>
    <t>Basic screening, standard contractual protections, reassessment every 3 years.</t>
  </si>
  <si>
    <t>Regulatory Exposure</t>
  </si>
  <si>
    <t>Potential legal, privacy, contractual, or regulatory impact.</t>
  </si>
  <si>
    <t>1 = little exposure; 5 = direct exposure to major regulated obligations.</t>
  </si>
  <si>
    <t>Fourth-Party Dependency</t>
  </si>
  <si>
    <t>Reliance on subcontractors, sub-processors, cloud providers, or other external parties.</t>
  </si>
  <si>
    <t>1 = limited reliance; 5 = heavy or opaque concentration on critical fourth parties.</t>
  </si>
  <si>
    <t>Automatic Tier 1 Triggers</t>
  </si>
  <si>
    <t>Availability Requirements</t>
  </si>
  <si>
    <t>Required uptime, recovery speed, and tolerance for service interruption.</t>
  </si>
  <si>
    <t>1 = interruption tolerated; 5 = near-continuous availability required.</t>
  </si>
  <si>
    <t>Trigger</t>
  </si>
  <si>
    <t>Rule</t>
  </si>
  <si>
    <t>Rationale</t>
  </si>
  <si>
    <t>Total Weight</t>
  </si>
  <si>
    <t>Critical availability dependency</t>
  </si>
  <si>
    <t>Business Criticality = 5 AND Availability = 5</t>
  </si>
  <si>
    <t>A severe outage could materially interrupt operations.</t>
  </si>
  <si>
    <t>Restricted data with powerful access</t>
  </si>
  <si>
    <t>Data Sensitivity = 5 AND System Access ≥ 4</t>
  </si>
  <si>
    <t>Combines crown-jewel information with elevated access.</t>
  </si>
  <si>
    <t>Scoring Formula</t>
  </si>
  <si>
    <t>Maximum regulatory exposure</t>
  </si>
  <si>
    <t>Regulatory Exposure = 5</t>
  </si>
  <si>
    <t>Failure could create major legal, privacy, or regulatory impact.</t>
  </si>
  <si>
    <t>Weighted Score = Σ (Factor Rating × Factor Weight). Risk Percentage = Weighted Score ÷ 5 × 100. Final Tier may be raised through a documented manual override but should not be lowered without approval.</t>
  </si>
  <si>
    <t>Vendor Inventory</t>
  </si>
  <si>
    <t>Enter one supplier per row. Vendor IDs are preassigned for up to 20 third parties.</t>
  </si>
  <si>
    <t>Vendor ID</t>
  </si>
  <si>
    <t>Vendor Name</t>
  </si>
  <si>
    <t>Service / Product</t>
  </si>
  <si>
    <t>Business Owner</t>
  </si>
  <si>
    <t>Department</t>
  </si>
  <si>
    <t>Vendor Type</t>
  </si>
  <si>
    <t>Contract Start</t>
  </si>
  <si>
    <t>Contract End</t>
  </si>
  <si>
    <t>Primary Geography</t>
  </si>
  <si>
    <t>Data Types Handled</t>
  </si>
  <si>
    <t>Connected Systems</t>
  </si>
  <si>
    <t>Access Level</t>
  </si>
  <si>
    <t>Regulatory Scope</t>
  </si>
  <si>
    <t>Critical Service?</t>
  </si>
  <si>
    <t>Fourth Parties Known?</t>
  </si>
  <si>
    <t>Lifecycle Status</t>
  </si>
  <si>
    <t>Notes</t>
  </si>
  <si>
    <t>V-001</t>
  </si>
  <si>
    <t>V-002</t>
  </si>
  <si>
    <t>V-003</t>
  </si>
  <si>
    <t>V-004</t>
  </si>
  <si>
    <t>V-005</t>
  </si>
  <si>
    <t>V-006</t>
  </si>
  <si>
    <t>V-007</t>
  </si>
  <si>
    <t>V-008</t>
  </si>
  <si>
    <t>V-009</t>
  </si>
  <si>
    <t>V-010</t>
  </si>
  <si>
    <t>V-011</t>
  </si>
  <si>
    <t>V-012</t>
  </si>
  <si>
    <t>V-013</t>
  </si>
  <si>
    <t>V-014</t>
  </si>
  <si>
    <t>V-015</t>
  </si>
  <si>
    <t>V-016</t>
  </si>
  <si>
    <t>V-017</t>
  </si>
  <si>
    <t>V-018</t>
  </si>
  <si>
    <t>V-019</t>
  </si>
  <si>
    <t>V-020</t>
  </si>
  <si>
    <t>Inherent-Risk Assessment</t>
  </si>
  <si>
    <t>Select a 1–5 rating for each risk factor. Complete all six ratings to calculate the score.</t>
  </si>
  <si>
    <t>Business Criticality
25%</t>
  </si>
  <si>
    <t>Data Sensitivity
20%</t>
  </si>
  <si>
    <t>System Access
20%</t>
  </si>
  <si>
    <t>Regulatory Exposure
15%</t>
  </si>
  <si>
    <t>Fourth-Party Dependency
10%</t>
  </si>
  <si>
    <t>Availability Requirements
10%</t>
  </si>
  <si>
    <t>Weighted Score
(1–5)</t>
  </si>
  <si>
    <t>Risk %</t>
  </si>
  <si>
    <t>Auto Tier 1 Trigger</t>
  </si>
  <si>
    <t>Assessment Notes</t>
  </si>
  <si>
    <t>Vendor Tiering Results</t>
  </si>
  <si>
    <t>Review the calculated tier, document any approved override, and assign the required assessment approach.</t>
  </si>
  <si>
    <t>Weighted Score</t>
  </si>
  <si>
    <t>Auto Trigger</t>
  </si>
  <si>
    <t>Calculated Tier</t>
  </si>
  <si>
    <t>Manual Override</t>
  </si>
  <si>
    <t>Final Tier</t>
  </si>
  <si>
    <t>Required Due Diligence</t>
  </si>
  <si>
    <t>Reassessment Frequency</t>
  </si>
  <si>
    <t>Review Status</t>
  </si>
  <si>
    <t>Reviewer Notes</t>
  </si>
  <si>
    <t>TPRM Tiering Dashboard</t>
  </si>
  <si>
    <t>A high-level view of the vendor population and inherent-risk profile.</t>
  </si>
  <si>
    <t>KPI</t>
  </si>
  <si>
    <t>Value</t>
  </si>
  <si>
    <t>Risk Indicator</t>
  </si>
  <si>
    <t>Count</t>
  </si>
  <si>
    <t>Total Vendors</t>
  </si>
  <si>
    <t>Unassessed Vendors</t>
  </si>
  <si>
    <t>Auto Tier 1 Triggers</t>
  </si>
  <si>
    <t>High Data Sensitivity (5)</t>
  </si>
  <si>
    <t>Privileged / High Access (4–5)</t>
  </si>
  <si>
    <t>Critical Availability (5)</t>
  </si>
  <si>
    <t>Vendor Count</t>
  </si>
  <si>
    <t>Risk Band</t>
  </si>
  <si>
    <t>Definition</t>
  </si>
  <si>
    <t>Highest inherent risk; deepest assessment and monitoring.</t>
  </si>
  <si>
    <t>Moderate inherent risk; standard assessment and evidence review.</t>
  </si>
  <si>
    <t>Lower inherent risk; basic screening and standard controls.</t>
  </si>
  <si>
    <t>Interpretation</t>
  </si>
  <si>
    <t>The score identifies assessment depth. It does not prove the vendor is secure.</t>
  </si>
  <si>
    <t>Reminder</t>
  </si>
  <si>
    <t>Residual risk is evaluated after reviewing controls and evidence.</t>
  </si>
  <si>
    <t>Rating</t>
  </si>
  <si>
    <t>Tier Override</t>
  </si>
  <si>
    <t>Yes/No</t>
  </si>
  <si>
    <t>IT</t>
  </si>
  <si>
    <t>Cloud / SaaS</t>
  </si>
  <si>
    <t>None</t>
  </si>
  <si>
    <t>Planned</t>
  </si>
  <si>
    <t>Yes</t>
  </si>
  <si>
    <t>Security</t>
  </si>
  <si>
    <t>Professional Services</t>
  </si>
  <si>
    <t>User</t>
  </si>
  <si>
    <t>Onboarding</t>
  </si>
  <si>
    <t>No</t>
  </si>
  <si>
    <t>Privacy</t>
  </si>
  <si>
    <t>Finance</t>
  </si>
  <si>
    <t>Business Process Outsourcing</t>
  </si>
  <si>
    <t>Elevated</t>
  </si>
  <si>
    <t>Active</t>
  </si>
  <si>
    <t>Financial</t>
  </si>
  <si>
    <t>HR</t>
  </si>
  <si>
    <t>Legal</t>
  </si>
  <si>
    <t>Privileged</t>
  </si>
  <si>
    <t>Under Review</t>
  </si>
  <si>
    <t>Healthcare</t>
  </si>
  <si>
    <t>Marketing</t>
  </si>
  <si>
    <t>API / Service Account</t>
  </si>
  <si>
    <t>Remediation</t>
  </si>
  <si>
    <t>Payment Card</t>
  </si>
  <si>
    <t>Procurement</t>
  </si>
  <si>
    <t>Facilities / Office</t>
  </si>
  <si>
    <t>Network</t>
  </si>
  <si>
    <t>Offboarding</t>
  </si>
  <si>
    <t>Multiple</t>
  </si>
  <si>
    <t>Operations</t>
  </si>
  <si>
    <t>Data / Analytics</t>
  </si>
  <si>
    <t>Physical</t>
  </si>
  <si>
    <t>Terminated</t>
  </si>
  <si>
    <t>Payroll / HR</t>
  </si>
  <si>
    <t>Other</t>
  </si>
  <si>
    <t>NorthGrid Cloud Services</t>
  </si>
  <si>
    <t>ClearPay Workforce Solutions</t>
  </si>
  <si>
    <t>VenueBridge Tickets</t>
  </si>
  <si>
    <t>Harrison, Cole &amp; Mercer LLP</t>
  </si>
  <si>
    <t>Brightline Creative Group</t>
  </si>
  <si>
    <t>MetroDesk Office Supply</t>
  </si>
  <si>
    <t>Cloud hosting</t>
  </si>
  <si>
    <t>Payroll</t>
  </si>
  <si>
    <t>Ticketing</t>
  </si>
  <si>
    <t>Law firm</t>
  </si>
  <si>
    <t>Office supplies</t>
  </si>
  <si>
    <t>SentinelPeak Security</t>
  </si>
  <si>
    <t>CrowdFlow Access Systems</t>
  </si>
  <si>
    <t>HarborPoint Payment Solutions</t>
  </si>
  <si>
    <t>StageLink Production Services</t>
  </si>
  <si>
    <t>IronGate Facility Management</t>
  </si>
  <si>
    <t>SafeGuard Event Staffing</t>
  </si>
  <si>
    <t>FreshTable Hospitality Group</t>
  </si>
  <si>
    <t>RapidRoute Transportation</t>
  </si>
  <si>
    <t>EverSafe Insurance Partners</t>
  </si>
  <si>
    <t>DataPulse Analytics</t>
  </si>
  <si>
    <t>Credit-card payment processing</t>
  </si>
  <si>
    <t>Managed security monitoring and incident response</t>
  </si>
  <si>
    <t>Digital ticket scanning and venue access control</t>
  </si>
  <si>
    <t>Audio, lighting, and stage-production equipment</t>
  </si>
  <si>
    <t>Venue maintenance, cleaning, and repairs</t>
  </si>
  <si>
    <t>Security guards and crowd-management staff</t>
  </si>
  <si>
    <t>Food and beverage concessions</t>
  </si>
  <si>
    <t>Shuttle buses and equipment transportation</t>
  </si>
  <si>
    <t>General liability, cyber, and event insurance</t>
  </si>
  <si>
    <t>Customer, ticket-sales, and event-performance analytics</t>
  </si>
  <si>
    <t>Chief Information Security Officer</t>
  </si>
  <si>
    <t>Procurement Manager</t>
  </si>
  <si>
    <t>Director of IT Infrastructure</t>
  </si>
  <si>
    <t>Payroll Manager or HR Director</t>
  </si>
  <si>
    <t>Director of Ticketing Operations</t>
  </si>
  <si>
    <t>General Counsel</t>
  </si>
  <si>
    <t>Marketing Director</t>
  </si>
  <si>
    <t>Venue Operations Manager</t>
  </si>
  <si>
    <t>Finance Director or Controller</t>
  </si>
  <si>
    <t>Director of Event Production</t>
  </si>
  <si>
    <t>Facilities Manager</t>
  </si>
  <si>
    <t>Director of Venue Security</t>
  </si>
  <si>
    <t>Food and Beverage Director</t>
  </si>
  <si>
    <t>Logistics Manager</t>
  </si>
  <si>
    <t>Chief Financial Officer or Risk Manager</t>
  </si>
  <si>
    <t>Marketing Analytics Manager</t>
  </si>
  <si>
    <t>United States / Canada</t>
  </si>
  <si>
    <t>United States</t>
  </si>
  <si>
    <t>United States / Ireland</t>
  </si>
  <si>
    <t>United States / United Kingdom</t>
  </si>
  <si>
    <t>United States / Russia</t>
  </si>
  <si>
    <t>United States / India</t>
  </si>
  <si>
    <t>Customer records, employee records, application data, system configurations, backups, IP addresses, authentication logs, and administrator information</t>
  </si>
  <si>
    <t>Employee names, addresses, Social Security numbers, bank-account details, salary information, tax records, and benefits information</t>
  </si>
  <si>
    <t>Attendee names, email addresses, phone numbers, ticket details, purchase history, payment tokens, and event attendance records</t>
  </si>
  <si>
    <t>Contracts, employee-relations records, litigation documents, incident records, privileged communications, and business-confidential information</t>
  </si>
  <si>
    <t>Customer email addresses, marketing preferences, campaign analytics, social-media information, photographs, and brand assets</t>
  </si>
  <si>
    <t>Business contact information, shipping addresses, purchase orders, invoices, and payment information</t>
  </si>
  <si>
    <t>Security alerts, log data, IP addresses, usernames, device information, incident records, vulnerability information, and administrator information</t>
  </si>
  <si>
    <t>Attendee names, email addresses, ticket identifiers, access records, device logs, and administrator information</t>
  </si>
  <si>
    <t>Cardholder names, payment-card information, transaction records, billing addresses, payment tokens, and fraud-monitoring data</t>
  </si>
  <si>
    <t>Event schedules, venue layouts, employee and contractor contact information, equipment inventories, and production plans</t>
  </si>
  <si>
    <t>Employee and contractor contact information, facility access records, maintenance records, floor plans, and work orders</t>
  </si>
  <si>
    <t>Guard and contractor names, contact information, schedules, licensing information, incident reports, and venue-access records</t>
  </si>
  <si>
    <t>Customer transaction information, employee contact information, concession sales records, inventory data, and food-allergy information when collected</t>
  </si>
  <si>
    <t>Passenger or employee names, contact information, travel schedules, pickup locations, vehicle records, and shipment details</t>
  </si>
  <si>
    <t>Employee and customer information related to claims, incident reports, financial information, property records, and insurance-policy information</t>
  </si>
  <si>
    <t>Customer identifiers, ticket-purchase history, attendance records, campaign interactions, demographic data, device information, and aggregated analytics</t>
  </si>
  <si>
    <t>WallGate cloud-hosted applications, identity provider, backup platform, monitoring tools, and administrator console</t>
  </si>
  <si>
    <t>HR information system, employee timekeeping system, finance system, banking file-transfer portal, and SSO</t>
  </si>
  <si>
    <t>WallGate website, customer relationship management system, payment gateway, event-management platform, and CrowdFlow access system</t>
  </si>
  <si>
    <t>Microsoft 365 email, SharePoint legal repository, secure file-transfer portal, and HR case-management system</t>
  </si>
  <si>
    <t>Website content-management system, customer relationship management system, email-marketing platform, social-media accounts, and analytics platform</t>
  </si>
  <si>
    <t>Procurement portal, accounts-payable system, and invoice-processing system</t>
  </si>
  <si>
    <t>SIEM, EDR platform, firewalls, identity provider, cloud logs, vulnerability-management platform, and incident-ticketing system</t>
  </si>
  <si>
    <t>VenueBridge ticketing platform, ticket scanners, access-control devices, event-management system, and identity provider</t>
  </si>
  <si>
    <t>Ticketing platform, point-of-sale terminals, finance system, payment gateway, and fraud-monitoring system</t>
  </si>
  <si>
    <t>Event-production scheduling system, equipment inventory system, and venue network for approved production devices</t>
  </si>
  <si>
    <t>Facilities-management system, work-order platform, building-access system, and maintenance-record repository</t>
  </si>
  <si>
    <t>Staff-scheduling system, visitor-management platform, access-control system, and incident-reporting system</t>
  </si>
  <si>
    <t>Point-of-sale system, inventory-management platform, payment processor, and procurement system</t>
  </si>
  <si>
    <t>Logistics scheduling platform, vendor portal, shipment-tracking system, and event calendar</t>
  </si>
  <si>
    <t>Claims-management portal, finance system, incident-report repository, and secure document-sharing platform</t>
  </si>
  <si>
    <t>Data warehouse, ticketing platform, customer relationship management system, marketing automation platform, and website analytics</t>
  </si>
  <si>
    <t>No direct access to WallGate production systems. Fourth parties are limited to product distributors and delivery carriers.</t>
  </si>
  <si>
    <t>Vendor is onboarding. Privileged access will not be enabled until security evidence, MFA, access logging, and incident-response procedures are approved.</t>
  </si>
  <si>
    <t>U.S.-based vendor relies on VolgaTech Support LLC, a Russia-based software-development and technical-support subcontractor. Contract renewal is pending sanctions screening, ownership validation, banking review, privileged-access assessment, and approval of a geographic exit plan.</t>
  </si>
  <si>
    <t>Vendor is in remediation. Long-term renewal is pending an updated PCI DSS attestation, incident-notification requirements, and closure of identified payment-security findings.</t>
  </si>
  <si>
    <t>Production equipment may connect only to an isolated event network. Temporary accounts and network access must be removed after each event.</t>
  </si>
  <si>
    <t>Physical access is limited to approved maintenance areas. Entry into server rooms or other restricted spaces requires authorization and escort.</t>
  </si>
  <si>
    <t>Vendor must verify guard licenses and background checks. Subcontracted guards require WallGate approval before assignment.</t>
  </si>
  <si>
    <t>Vendor is onboarding. POS access, payment responsibilities, food-allergy procedures, and subcontractor information must be approved before operations begin.</t>
  </si>
  <si>
    <t>Vendor relationship is planned and the listed contract dates are proposed. Production access and passenger-data sharing are not permitted until due diligence is complete.</t>
  </si>
  <si>
    <t>Claims may contain personal, medical, financial, and legal information. Documents must be exchanged through the approved secure portal rather than ordinary email.</t>
  </si>
  <si>
    <t>Vendor is in remediation. Renewal is pending evidence of data minimization, retention limits, deletion procedures, and restrictions on fourth-party data sharing.</t>
  </si>
  <si>
    <t>Critical cloud-hosting provider with privileged administrative access. Annual review should validate data-residency locations, backup recovery testing, administrator access controls, and fourth-party hosting dependencies.</t>
  </si>
  <si>
    <t>Processes highly sensitive employee payroll and banking information through automated integrations. Access should be limited to approved service accounts, and annual reviews should confirm encryption, payroll-file security, and subcontractor oversight.</t>
  </si>
  <si>
    <t>Contract is under review before expiration. Renewal should require current security evidence, availability testing, payment-data responsibilities, incident-notification terms, and confirmation of all cloud and payment-related fourth parties.</t>
  </si>
  <si>
    <t>Handles legally privileged and business-confidential information. Documents should be exchanged through approved secure channels, and access to HR or legal repositories should follow least-privilege requirements.</t>
  </si>
  <si>
    <t>Access is limited to approved marketing, website, and social-media accounts. WallGate should require individual accounts, MFA, prompt access removal, and restrictions on sharing customer data with advertising or analytics partners.</t>
  </si>
  <si>
    <t>Mission-critical cloud hosting, highly sensitive customer and employee data, privileged administrative access, and near-continuous availability requirements. Assessment should prioritize administrator controls, backup recovery, data residency, and critical fourth-party dependencies.</t>
  </si>
  <si>
    <t>Highly sensitive payroll, banking, tax, and employee data; automated system integrations; and significant regulatory exposure. Review should validate encryption, service-account security, payroll continuity, and oversight of banking and tax-processing fourth parties.</t>
  </si>
  <si>
    <t>Ticket sales, customer entry, and event revenue depend on the platform. The vendor processes customer and payment-related data through multiple integrations and requires high availability; renewal should include resilience evidence, incident-notification terms, and fourth-party transparency.</t>
  </si>
  <si>
    <t>Highly sensitive legal, employment, litigation, and privileged information. Risk is reduced by limited user-level access and lower availability requirements; assessment should focus on secure document transfer, least privilege, retention, and e-discovery subcontractors.</t>
  </si>
  <si>
    <t>Customer marketing data, access to website and social-media accounts, and heavy reliance on advertising and analytics partners. Review should confirm MFA, individual accounts, customer-consent practices, and restrictions on data sharing.</t>
  </si>
  <si>
    <t>Easily replaceable, handles routine business information, and has no direct access to WallGate production systems. Basic screening and confirmation of delivery and distributor fourth parties are sufficient.</t>
  </si>
  <si>
    <t>Critical security-monitoring role, privileged access to core security systems, sensitive log and incident data, and 24/7 availability requirements. Onboarding should require MFA, PAM, access logging, incident-response procedures, and continuity evidence.</t>
  </si>
  <si>
    <t>Mission-critical venue access, sensitive attendee information, privileged platform access, high availability requirements, and significant reliance on a Russia-based fourth party. Renewal requires sanctions screening, ownership validation, privileged-access review, continuity testing, and an approved geographic exit plan.</t>
  </si>
  <si>
    <t>Payment processing directly supports WallGate revenue and involves payment-card data, API integrations, major regulatory exposure, and numerous financial fourth parties. Vendor remains in remediation pending current PCI DSS evidence, stronger incident-notification terms, and closure of payment-security findings.</t>
  </si>
  <si>
    <t>Audio, lighting, and production services are highly important during live events and may connect equipment to venue networks. Risk is limited by low data sensitivity; controls should include network isolation, temporary access, and removal of vendor devices and accounts after events.</t>
  </si>
  <si>
    <t>Vendor’s role in maintaining safe and operational facilities, physical access to venue areas, and reliance on specialty subcontractors. Assessment should confirm access restrictions, escort requirements, safety compliance, and approval of subcontracted technicians.</t>
  </si>
  <si>
    <t>Security staffing and crowd management are essential for attendee safety and event operations. The vendor has physical access, handles incident and licensing information, and may use subcontracted guards; review should validate licenses, background checks, staffing continuity, and subcontractor approval.</t>
  </si>
  <si>
    <t>Payment-card exposure, concession-system access, and extensive reliance on food suppliers, payment processors, and temporary labor. Onboarding should confirm PCI responsibilities, POS security, food-allergy procedures, and fourth-party oversight.</t>
  </si>
  <si>
    <t>Passenger and location information, logistics-system access, and reliance on subcontracted drivers and carriers. Because the relationship is planned, no production access or personal-data sharing should occur until licensing, insurance, security, and due diligence reviews are complete.</t>
  </si>
  <si>
    <t>Insurance claims may contain personal, medical, financial, legal, and incident information, while the service relies heavily on underwriters, adjusters, and reinsurers. Review should prioritize secure file exchange, confidentiality requirements, retention, and fourth-party transparency.</t>
  </si>
  <si>
    <t>Automated access to customer, ticketing, CRM, and behavioral analytics data. Although the service is not required for live-event continuity, remediation should address data minimization, retention limits, deletion procedures, consent, and restrictions on fourth-party data sharing.</t>
  </si>
  <si>
    <t>Needs Escalation</t>
  </si>
  <si>
    <t>Complete</t>
  </si>
  <si>
    <t>Tier 1 classification confirmed due to critical cloud hosting, privileged administrative access, sensitive hosted data, and high availability requirements. Enhanced assessment completed; continue annual review of access controls, data residency, backup recovery, and fourth-party hosting dependencies.</t>
  </si>
  <si>
    <t>Tier 1 classification confirmed due to highly sensitive payroll, banking, tax, and employee data processed through automated integrations. Annual review should validate encryption, service-account controls, payroll continuity, and oversight of banking and tax-processing partners.</t>
  </si>
  <si>
    <t>In Progress</t>
  </si>
  <si>
    <t>Annual reassessment is underway before contract renewal. Tier 1 classification remains appropriate due to reliance on the platform for ticket sales, customer entry, revenue collection, and multiple system integrations. Updated resilience, incident-notification, and fourth-party evidence is pending.</t>
  </si>
  <si>
    <t>Tier 2 classification confirmed. The firm handles highly confidential and legally privileged information but has limited user-level system access and lower availability requirements. Continue biennial review of secure document exchange, retention, least privilege, and subcontractor use.</t>
  </si>
  <si>
    <t>Tier 2 classification confirmed due to customer marketing data, website and social-media access, and reliance on advertising and analytics partners. Review verified that individual accounts, MFA, access removal, and customer-data-sharing restrictions are required.</t>
  </si>
  <si>
    <t>Tier 3 classification confirmed. Vendor is easily replaceable, handles routine business information, and has no direct access to production systems. Basic screening and standard contractual protections are sufficient.</t>
  </si>
  <si>
    <t>Tier 1 onboarding assessment is in progress. Privileged access must not be activated until MFA, PAM controls, access logging, incident-response procedures, personnel screening, and business-continuity evidence are validated.</t>
  </si>
  <si>
    <t>Tier 1 renewal requires management escalation due to mission-critical venue access, privileged connectivity, high availability requirements, and reliance on a Russia-based fourth party. Legal and Compliance must complete sanctions, ownership, banking, and export-control reviews before renewal approval.</t>
  </si>
  <si>
    <t>Tier 1 vendor remains in remediation due to payment-card exposure, critical revenue dependency, API integrations, and extensive financial fourth parties. Renewal requires current PCI DSS evidence, stronger incident-notification terms, and validated closure of payment-security findings.</t>
  </si>
  <si>
    <t>Tier 2 classification confirmed. Production services are important during live events, but the vendor handles limited sensitive data. Network-connected production equipment must remain isolated, temporary access must be approved, and accounts and devices must be removed after events.</t>
  </si>
  <si>
    <t>Tier 2 classification confirmed due to physical access, operational importance, and reliance on specialty contractors. Continue biennial review of restricted-area access, escort requirements, safety compliance, and subcontractor approval.</t>
  </si>
  <si>
    <t>Tier 1 classification confirmed because event security and crowd management are essential to attendee safety and venue operations. Annual review must validate guard licensing, background checks, staffing continuity, incident-reporting procedures, and approval of subcontracted guards.</t>
  </si>
  <si>
    <t>Not Started</t>
  </si>
  <si>
    <t>Tier 2 onboarding assessment is in progress. Production access should remain restricted until PCI responsibilities, POS security, food-allergy procedures, personnel access, and fourth-party supplier information are reviewed and approved.</t>
  </si>
  <si>
    <t>Vendor relationship remains planned and the listed contract dates are proposed. Due diligence must be completed before contract execution, production-system access, or passenger-data sharing. Review should cover licensing, insurance, driver screening, subcontracted carriers, and data handling.</t>
  </si>
  <si>
    <t>Tier 2 classification confirmed despite highly sensitive claims information because system access and real-time availability requirements are limited. Continue biennial review of secure file transfer, retention, confidentiality, claims subprocessors, adjusters, and reinsurers.</t>
  </si>
  <si>
    <t>Temporarily elevated from Tier 2 to Tier 1 due to active remediation, broad API and service-account access, large-scale customer profiling, and extensive ticketing and behavioral data processing. Return to Tier 2 only after remediation evidence is validated, access is restricted, data-minimization and retention controls are confirmed, and residual risk is formally approved.</t>
  </si>
  <si>
    <t>WallGate Events &amp; Entertainment maintains an inventory of 16 third-party vendors supporting cloud hosting, payroll, ticketing, cybersecurity, payment processing, venue access, event staffing, facilities, marketing, and other business functions. The inherent-risk assessment classified eight vendors as Tier 1, seven as Tier 2, and one as Tier 3. The highest risks are concentrated among vendors with privileged or automated system access, sensitive personal or payment data, high availability requirements, and substantial fourth-party dependencies. Immediate management attention is required for CrowdFlow Access Systems, HarborPoint Payment Solutions, and DataPulse Analytics due to geopolitical exposure, active remediation, and elevated data-access risks. WallGate should complete enhanced assessments, validate remediation evidence, strengthen contractual protections, and prevent production access until onboarding and due-diligence requirements are satisfied.</t>
  </si>
  <si>
    <t>Tier 1 concentration</t>
  </si>
  <si>
    <t>Geopolitical and sanctions exposure</t>
  </si>
  <si>
    <t>Unresolved remediation</t>
  </si>
  <si>
    <t>Incomplete onboarding and pre-contract review</t>
  </si>
  <si>
    <t>Eight of 16 vendors were classified as Tier 1 because of critical services, sensitive data, privileged access, regulatory exposure, or high availability requirements.</t>
  </si>
  <si>
    <t>CrowdFlow relies on a fictional Russia-based development and support subcontractor with potential privileged access and operational dependency.</t>
  </si>
  <si>
    <t>HarborPoint and DataPulse have open findings involving payment security, API access, customer profiling, retention, and downstream data sharing.</t>
  </si>
  <si>
    <t>SentinelPeak and FreshTable are onboarding, while RapidRoute remains planned. Assessments are not yet fully completed.</t>
  </si>
  <si>
    <t>V-001, V-002, V-003, V-007, V-008, V-009, V-012, V-016</t>
  </si>
  <si>
    <t>V-009, V-016</t>
  </si>
  <si>
    <t>V-007, V-013, V-014</t>
  </si>
  <si>
    <t>GRC/TPRM Analyst and Business Owners</t>
  </si>
  <si>
    <t>Legal, Compliance, Security, and Procurement</t>
  </si>
  <si>
    <t>GRC, Security, Finance, and Marketing</t>
  </si>
  <si>
    <t>Procurement, GRC, and Business Owners</t>
  </si>
  <si>
    <t>Complete enhanced assessments and validate security, resilience, access-control, incident-response, and fourth-party evidence annually.</t>
  </si>
  <si>
    <t>Require sanctions and ownership screening, banking review, access validation, conditional renewal, and a geographic exit plan.</t>
  </si>
  <si>
    <t>Validate corrective-action evidence, assign accountable owners, track deadlines, and escalate overdue findings before renewal approval.</t>
  </si>
  <si>
    <t>Prevent production access and personal-data sharing until due diligence, contract review, and required evidence are approved.</t>
  </si>
  <si>
    <t>Failure or compromise could disrupt events, payroll, payments, cybersecurity monitoring, customer entry, or sensitive-data protection.</t>
  </si>
  <si>
    <t>Sanctions, banking restrictions, export controls, or loss of support could interrupt venue-access services and delay renewal.</t>
  </si>
  <si>
    <t>Unresolved weaknesses could lead to payment disruption, privacy incidents, regulatory exposure, or unacceptable residual risk.</t>
  </si>
  <si>
    <t>Premature access or data sharing could expose WallGate before security, privacy, insurance, and contractual controls are verified.</t>
  </si>
  <si>
    <t>1. Complete enhanced due diligence for all eight Tier 1 vendors, including validation of security certifications, penetration tests, access controls, incident-response plans, business-continuity testing, and fourth-party oversight.
2. Grant CrowdFlow Access Systems only a conditional short-term renewal until sanctions screening, ownership validation, privileged-access review, and the geographic exit plan are completed.
3. Require HarborPoint Payment Solutions and DataPulse Analytics to submit documented remediation evidence before long-term renewal or residual-risk acceptance.
4. Prohibit production access and sensitive-data sharing for SentinelPeak Security, FreshTable Hospitality Group, and RapidRoute Transportation until onboarding and due diligence are approved.
5. Maintain a centralized reassessment calendar requiring annual reviews for Tier 1 vendors, reviews every two years for Tier 2 vendors, and reviews every three years for Tier 3 vendors, with additional reviews triggered by incidents, ownership changes, sanctions exposure, or significant service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</si>
</sst>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
  </numFmts>
  <fonts count="6">
    <font>
      <sz val="11"/>
      <name val="Carlito"/>
    </font>
    <font>
      <b/>
      <sz val="11"/>
      <color rgb="FFFFFFFF"/>
      <name val="Carlito"/>
    </font>
    <font>
      <sz val="11"/>
      <color rgb="FF111827"/>
      <name val="Carlito"/>
    </font>
    <font>
      <b/>
      <sz val="18"/>
      <color rgb="FFFFFFFF"/>
      <name val="Carlito"/>
    </font>
    <font>
      <b/>
      <sz val="11"/>
      <color rgb="FF111827"/>
      <name val="Carlito"/>
    </font>
    <font>
      <b/>
      <sz val="11"/>
      <name val="Carlito"/>
    </font>
  </fonts>
  <fills count="9">
    <fill>
      <patternFill patternType="none"/>
    </fill>
    <fill>
      <patternFill patternType="gray125"/>
    </fill>
    <fill>
      <patternFill patternType="solid">
        <fgColor rgb="FF14213D"/>
      </patternFill>
    </fill>
    <fill>
      <patternFill patternType="solid">
        <fgColor rgb="FFFFFFFF"/>
      </patternFill>
    </fill>
    <fill>
      <patternFill patternType="solid">
        <fgColor rgb="FFEAF0F8"/>
      </patternFill>
    </fill>
    <fill>
      <patternFill patternType="solid">
        <fgColor rgb="FFFCA311"/>
      </patternFill>
    </fill>
    <fill>
      <patternFill patternType="solid">
        <fgColor rgb="FFF3F4F6"/>
      </patternFill>
    </fill>
    <fill>
      <patternFill patternType="solid">
        <fgColor theme="4" tint="0.79998168889431442"/>
        <bgColor indexed="64"/>
      </patternFill>
    </fill>
    <fill>
      <patternFill patternType="solid">
        <fgColor theme="0"/>
        <bgColor indexed="64"/>
      </patternFill>
    </fill>
  </fills>
  <borders count="13">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s>
  <cellStyleXfs count="1">
    <xf numFmtId="0" fontId="0" fillId="0" borderId="0"/>
  </cellStyleXfs>
  <cellXfs count="65">
    <xf numFmtId="0" fontId="0" fillId="0" borderId="0" xfId="0"/>
    <xf numFmtId="0" fontId="1" fillId="2" borderId="0" xfId="0" applyFont="1" applyFill="1" applyAlignment="1">
      <alignment horizontal="center" vertical="center" wrapText="1"/>
    </xf>
    <xf numFmtId="0" fontId="2" fillId="4" borderId="0" xfId="0" applyFont="1" applyFill="1" applyAlignment="1">
      <alignment vertical="top" wrapText="1"/>
    </xf>
    <xf numFmtId="0" fontId="4" fillId="5" borderId="0" xfId="0" applyFont="1" applyFill="1" applyAlignment="1">
      <alignment horizontal="left" vertical="center"/>
    </xf>
    <xf numFmtId="9" fontId="4" fillId="5" borderId="0" xfId="0" applyNumberFormat="1" applyFont="1" applyFill="1" applyAlignment="1">
      <alignment horizontal="left" vertical="center"/>
    </xf>
    <xf numFmtId="0" fontId="2" fillId="3" borderId="2" xfId="0" applyFont="1" applyFill="1" applyBorder="1" applyAlignment="1">
      <alignment horizontal="center" vertical="top" wrapText="1"/>
    </xf>
    <xf numFmtId="9" fontId="2" fillId="3" borderId="2" xfId="0" applyNumberFormat="1" applyFont="1" applyFill="1" applyBorder="1" applyAlignment="1">
      <alignment horizontal="center" vertical="top" wrapText="1"/>
    </xf>
    <xf numFmtId="0" fontId="1" fillId="2" borderId="2" xfId="0" applyFont="1" applyFill="1" applyBorder="1" applyAlignment="1">
      <alignment horizontal="center" vertical="center" wrapText="1"/>
    </xf>
    <xf numFmtId="0" fontId="0" fillId="0" borderId="1" xfId="0" applyBorder="1" applyAlignment="1">
      <alignment horizontal="center" vertical="top"/>
    </xf>
    <xf numFmtId="0" fontId="3" fillId="2" borderId="0" xfId="0" applyFont="1" applyFill="1" applyAlignment="1">
      <alignment horizontal="left" vertical="center"/>
    </xf>
    <xf numFmtId="0" fontId="2" fillId="4" borderId="0" xfId="0" applyFont="1" applyFill="1" applyAlignment="1">
      <alignment vertical="top" wrapText="1"/>
    </xf>
    <xf numFmtId="0" fontId="4" fillId="5" borderId="0" xfId="0" applyFont="1" applyFill="1" applyAlignment="1">
      <alignment horizontal="left" vertical="center"/>
    </xf>
    <xf numFmtId="0" fontId="2" fillId="3" borderId="2"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2" fillId="6"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2" fillId="7" borderId="2" xfId="0"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14" fontId="0" fillId="0" borderId="2" xfId="0" applyNumberFormat="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6" borderId="6" xfId="0" applyFont="1" applyFill="1" applyBorder="1" applyAlignment="1">
      <alignment vertical="top" wrapText="1"/>
    </xf>
    <xf numFmtId="0" fontId="2" fillId="6" borderId="2" xfId="0" applyFont="1" applyFill="1" applyBorder="1" applyAlignment="1">
      <alignment vertical="top" wrapText="1"/>
    </xf>
    <xf numFmtId="2" fontId="2" fillId="6" borderId="2" xfId="0" applyNumberFormat="1" applyFont="1" applyFill="1" applyBorder="1" applyAlignment="1">
      <alignment vertical="top" wrapText="1"/>
    </xf>
    <xf numFmtId="165" fontId="2" fillId="6" borderId="2" xfId="0" applyNumberFormat="1" applyFont="1" applyFill="1" applyBorder="1" applyAlignment="1">
      <alignment vertical="top" wrapText="1"/>
    </xf>
    <xf numFmtId="0" fontId="2" fillId="3" borderId="2" xfId="0" applyFont="1" applyFill="1" applyBorder="1" applyAlignment="1">
      <alignment vertical="top" wrapText="1"/>
    </xf>
    <xf numFmtId="0" fontId="2" fillId="4" borderId="2" xfId="0" applyFont="1" applyFill="1" applyBorder="1" applyAlignment="1">
      <alignment vertical="top" wrapText="1"/>
    </xf>
    <xf numFmtId="0" fontId="2" fillId="3" borderId="7" xfId="0" applyFont="1" applyFill="1" applyBorder="1" applyAlignment="1">
      <alignment vertical="top" wrapText="1"/>
    </xf>
    <xf numFmtId="0" fontId="0" fillId="0" borderId="7" xfId="0" applyBorder="1" applyAlignment="1">
      <alignment horizontal="center" vertical="center" wrapText="1"/>
    </xf>
    <xf numFmtId="0" fontId="2" fillId="6" borderId="8" xfId="0" applyFont="1" applyFill="1" applyBorder="1" applyAlignment="1">
      <alignment vertical="top" wrapText="1"/>
    </xf>
    <xf numFmtId="0" fontId="2" fillId="6" borderId="9" xfId="0" applyFont="1" applyFill="1" applyBorder="1" applyAlignment="1">
      <alignment vertical="top" wrapText="1"/>
    </xf>
    <xf numFmtId="2" fontId="2" fillId="6" borderId="9" xfId="0" applyNumberFormat="1" applyFont="1" applyFill="1" applyBorder="1" applyAlignment="1">
      <alignment vertical="top" wrapText="1"/>
    </xf>
    <xf numFmtId="165" fontId="2" fillId="6" borderId="9" xfId="0" applyNumberFormat="1" applyFont="1" applyFill="1" applyBorder="1" applyAlignment="1">
      <alignment vertical="top" wrapText="1"/>
    </xf>
    <xf numFmtId="0" fontId="2" fillId="3" borderId="9" xfId="0" applyFont="1" applyFill="1" applyBorder="1" applyAlignment="1">
      <alignment vertical="top" wrapText="1"/>
    </xf>
    <xf numFmtId="0" fontId="2" fillId="4" borderId="9" xfId="0" applyFont="1" applyFill="1" applyBorder="1" applyAlignment="1">
      <alignment vertical="top" wrapText="1"/>
    </xf>
    <xf numFmtId="0" fontId="2" fillId="3" borderId="10" xfId="0" applyFont="1" applyFill="1" applyBorder="1" applyAlignment="1">
      <alignment vertical="top" wrapText="1"/>
    </xf>
    <xf numFmtId="0" fontId="0" fillId="0" borderId="11" xfId="0" applyBorder="1"/>
    <xf numFmtId="0" fontId="0" fillId="0" borderId="2" xfId="0" applyBorder="1" applyAlignment="1">
      <alignment vertical="center" wrapText="1"/>
    </xf>
    <xf numFmtId="0" fontId="2" fillId="3" borderId="6"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7" borderId="2" xfId="0" applyFill="1" applyBorder="1" applyAlignment="1">
      <alignment vertical="center" wrapText="1"/>
    </xf>
    <xf numFmtId="0" fontId="0" fillId="7" borderId="0" xfId="0" applyFill="1"/>
    <xf numFmtId="164" fontId="2" fillId="7" borderId="2" xfId="0" applyNumberFormat="1" applyFont="1" applyFill="1" applyBorder="1" applyAlignment="1">
      <alignment horizontal="center" vertical="center" wrapText="1"/>
    </xf>
    <xf numFmtId="0" fontId="0" fillId="8" borderId="0" xfId="0" applyFill="1"/>
    <xf numFmtId="2" fontId="2"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12" xfId="0" applyFont="1" applyFill="1" applyBorder="1" applyAlignment="1">
      <alignment vertical="top" wrapText="1"/>
    </xf>
    <xf numFmtId="0" fontId="2" fillId="4" borderId="8" xfId="0" applyFont="1" applyFill="1" applyBorder="1" applyAlignment="1">
      <alignment vertical="top" wrapText="1"/>
    </xf>
    <xf numFmtId="0" fontId="2" fillId="4" borderId="10"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12" xfId="0" applyFont="1" applyFill="1" applyBorder="1" applyAlignment="1">
      <alignment horizontal="center" vertical="center" wrapText="1"/>
    </xf>
    <xf numFmtId="14" fontId="0" fillId="0" borderId="0" xfId="0" applyNumberFormat="1" applyAlignment="1">
      <alignment horizontal="center" vertical="center" wrapText="1"/>
    </xf>
    <xf numFmtId="0" fontId="2" fillId="4" borderId="2" xfId="0" applyFont="1" applyFill="1" applyBorder="1" applyAlignment="1">
      <alignment horizontal="left" vertical="center" wrapText="1"/>
    </xf>
  </cellXfs>
  <cellStyles count="1">
    <cellStyle name="Normal" xfId="0" builtinId="0"/>
  </cellStyles>
  <dxfs count="54">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991B1B"/>
      </font>
      <fill>
        <patternFill patternType="solid">
          <bgColor rgb="FFFEE2E2"/>
        </patternFill>
      </fill>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11827"/>
        <name val="Carlito"/>
        <scheme val="none"/>
      </font>
      <fill>
        <patternFill patternType="solid">
          <fgColor indexed="64"/>
          <bgColor rgb="FFFFFFFF"/>
        </patternFill>
      </fill>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Vendor Distribution by Tier</a:t>
            </a:r>
          </a:p>
        </c:rich>
      </c:tx>
      <c:overlay val="0"/>
    </c:title>
    <c:autoTitleDeleted val="0"/>
    <c:plotArea>
      <c:layout/>
      <c:barChart>
        <c:barDir val="col"/>
        <c:grouping val="clustered"/>
        <c:varyColors val="0"/>
        <c:ser>
          <c:idx val="0"/>
          <c:order val="0"/>
          <c:tx>
            <c:v>Vendor Count</c:v>
          </c:tx>
          <c:invertIfNegative val="1"/>
          <c:cat>
            <c:strRef>
              <c:f>Dashboard!$A$13:$A$15</c:f>
              <c:strCache>
                <c:ptCount val="3"/>
                <c:pt idx="0">
                  <c:v>Tier 1</c:v>
                </c:pt>
                <c:pt idx="1">
                  <c:v>Tier 2</c:v>
                </c:pt>
                <c:pt idx="2">
                  <c:v>Tier 3</c:v>
                </c:pt>
              </c:strCache>
            </c:strRef>
          </c:cat>
          <c:val>
            <c:numRef>
              <c:f>Dashboard!$B$13:$B$15</c:f>
              <c:numCache>
                <c:formatCode>General</c:formatCode>
                <c:ptCount val="3"/>
                <c:pt idx="0">
                  <c:v>8</c:v>
                </c:pt>
                <c:pt idx="1">
                  <c:v>7</c:v>
                </c:pt>
                <c:pt idx="2">
                  <c:v>1</c:v>
                </c:pt>
              </c:numCache>
            </c:numRef>
          </c:val>
          <c:extLst>
            <c:ext xmlns:c16="http://schemas.microsoft.com/office/drawing/2014/chart" uri="{C3380CC4-5D6E-409C-BE32-E72D297353CC}">
              <c16:uniqueId val="{00000000-5CB1-492F-925D-B721CAB52C8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11</xdr:row>
      <xdr:rowOff>0</xdr:rowOff>
    </xdr:from>
    <xdr:to>
      <xdr:col>10</xdr:col>
      <xdr:colOff>0</xdr:colOff>
      <xdr:row>27</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endorInventoryTable" displayName="VendorInventoryTable" ref="A4:Q24" headerRowDxfId="40" dataDxfId="38" totalsRowDxfId="39">
  <tableColumns count="17">
    <tableColumn id="1" xr3:uid="{00000000-0010-0000-0000-000001000000}" name="Vendor ID" dataDxfId="53"/>
    <tableColumn id="2" xr3:uid="{00000000-0010-0000-0000-000002000000}" name="Vendor Name" dataDxfId="52"/>
    <tableColumn id="3" xr3:uid="{00000000-0010-0000-0000-000003000000}" name="Service / Product" dataDxfId="51"/>
    <tableColumn id="4" xr3:uid="{00000000-0010-0000-0000-000004000000}" name="Vendor Type" dataDxfId="50"/>
    <tableColumn id="5" xr3:uid="{00000000-0010-0000-0000-000005000000}" name="Business Owner" dataDxfId="49"/>
    <tableColumn id="18" xr3:uid="{CD1FC321-7951-4CD2-A287-3F9F20795D16}" name="Department" dataDxfId="34"/>
    <tableColumn id="6" xr3:uid="{00000000-0010-0000-0000-000006000000}" name="Lifecycle Status" dataDxfId="48"/>
    <tableColumn id="7" xr3:uid="{00000000-0010-0000-0000-000007000000}" name="Contract Start" dataDxfId="47"/>
    <tableColumn id="8" xr3:uid="{00000000-0010-0000-0000-000008000000}" name="Contract End" dataDxfId="46"/>
    <tableColumn id="9" xr3:uid="{00000000-0010-0000-0000-000009000000}" name="Primary Geography" dataDxfId="45"/>
    <tableColumn id="10" xr3:uid="{00000000-0010-0000-0000-00000A000000}" name="Data Types Handled" dataDxfId="44"/>
    <tableColumn id="11" xr3:uid="{00000000-0010-0000-0000-00000B000000}" name="Connected Systems" dataDxfId="37"/>
    <tableColumn id="12" xr3:uid="{00000000-0010-0000-0000-00000C000000}" name="Access Level" dataDxfId="36"/>
    <tableColumn id="13" xr3:uid="{00000000-0010-0000-0000-00000D000000}" name="Regulatory Scope" dataDxfId="35"/>
    <tableColumn id="14" xr3:uid="{00000000-0010-0000-0000-00000E000000}" name="Critical Service?" dataDxfId="43"/>
    <tableColumn id="15" xr3:uid="{00000000-0010-0000-0000-00000F000000}" name="Fourth Parties Known?" dataDxfId="42"/>
    <tableColumn id="16" xr3:uid="{00000000-0010-0000-0000-000010000000}" name="Notes" dataDxfId="4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iskAssessmentTable" displayName="RiskAssessmentTable" ref="A4:L24" dataDxfId="0">
  <tableColumns count="12">
    <tableColumn id="1" xr3:uid="{00000000-0010-0000-0100-000001000000}" name="Vendor ID" dataDxfId="12"/>
    <tableColumn id="2" xr3:uid="{00000000-0010-0000-0100-000002000000}" name="Vendor Name" dataDxfId="11"/>
    <tableColumn id="3" xr3:uid="{00000000-0010-0000-0100-000003000000}" name="Business Criticality_x000a_25%" dataDxfId="10"/>
    <tableColumn id="4" xr3:uid="{00000000-0010-0000-0100-000004000000}" name="Data Sensitivity_x000a_20%" dataDxfId="9"/>
    <tableColumn id="5" xr3:uid="{00000000-0010-0000-0100-000005000000}" name="System Access_x000a_20%" dataDxfId="8"/>
    <tableColumn id="6" xr3:uid="{00000000-0010-0000-0100-000006000000}" name="Regulatory Exposure_x000a_15%" dataDxfId="7"/>
    <tableColumn id="7" xr3:uid="{00000000-0010-0000-0100-000007000000}" name="Fourth-Party Dependency_x000a_10%" dataDxfId="6"/>
    <tableColumn id="8" xr3:uid="{00000000-0010-0000-0100-000008000000}" name="Availability Requirements_x000a_10%" dataDxfId="5"/>
    <tableColumn id="9" xr3:uid="{00000000-0010-0000-0100-000009000000}" name="Weighted Score_x000a_(1–5)" dataDxfId="4"/>
    <tableColumn id="10" xr3:uid="{00000000-0010-0000-0100-00000A000000}" name="Risk %" dataDxfId="3"/>
    <tableColumn id="11" xr3:uid="{00000000-0010-0000-0100-00000B000000}" name="Auto Tier 1 Trigger" dataDxfId="2"/>
    <tableColumn id="12" xr3:uid="{00000000-0010-0000-0100-00000C000000}" name="Assessment Notes"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ieringResultsTable" displayName="TieringResultsTable" ref="A4:M24" headerRowDxfId="18" totalsRowDxfId="17" headerRowBorderDxfId="32" tableBorderDxfId="33">
  <tableColumns count="13">
    <tableColumn id="1" xr3:uid="{00000000-0010-0000-0200-000001000000}" name="Vendor ID" dataDxfId="31"/>
    <tableColumn id="2" xr3:uid="{00000000-0010-0000-0200-000002000000}" name="Vendor Name" dataDxfId="30"/>
    <tableColumn id="3" xr3:uid="{00000000-0010-0000-0200-000003000000}" name="Weighted Score" dataDxfId="29"/>
    <tableColumn id="4" xr3:uid="{00000000-0010-0000-0200-000004000000}" name="Risk %" dataDxfId="28"/>
    <tableColumn id="5" xr3:uid="{00000000-0010-0000-0200-000005000000}" name="Auto Trigger" dataDxfId="27"/>
    <tableColumn id="6" xr3:uid="{00000000-0010-0000-0200-000006000000}" name="Calculated Tier" dataDxfId="26"/>
    <tableColumn id="7" xr3:uid="{00000000-0010-0000-0200-000007000000}" name="Manual Override" dataDxfId="25"/>
    <tableColumn id="8" xr3:uid="{00000000-0010-0000-0200-000008000000}" name="Final Tier" dataDxfId="24"/>
    <tableColumn id="9" xr3:uid="{00000000-0010-0000-0200-000009000000}" name="Required Due Diligence" dataDxfId="23"/>
    <tableColumn id="10" xr3:uid="{00000000-0010-0000-0200-00000A000000}" name="Reassessment Frequency" dataDxfId="22"/>
    <tableColumn id="11" xr3:uid="{00000000-0010-0000-0200-00000B000000}" name="Business Owner" dataDxfId="21"/>
    <tableColumn id="12" xr3:uid="{00000000-0010-0000-0200-00000C000000}" name="Review Status" dataDxfId="20"/>
    <tableColumn id="13" xr3:uid="{00000000-0010-0000-0200-00000D000000}" name="Reviewer Notes" dataDxfId="19"/>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zoomScale="80" zoomScaleNormal="80" workbookViewId="0">
      <selection activeCell="G12" sqref="G12"/>
    </sheetView>
  </sheetViews>
  <sheetFormatPr defaultRowHeight="13.45"/>
  <cols>
    <col min="1" max="3" width="25" customWidth="1"/>
    <col min="4" max="4" width="36.08984375" customWidth="1"/>
    <col min="6" max="7" width="26" customWidth="1"/>
    <col min="8" max="8" width="52.81640625" customWidth="1"/>
  </cols>
  <sheetData>
    <row r="1" spans="1:8" ht="20.05" customHeight="1">
      <c r="A1" s="9" t="s">
        <v>20</v>
      </c>
      <c r="B1" s="9"/>
      <c r="C1" s="9"/>
      <c r="D1" s="9"/>
      <c r="E1" s="9"/>
      <c r="F1" s="9"/>
      <c r="G1" s="9"/>
      <c r="H1" s="9"/>
    </row>
    <row r="2" spans="1:8" ht="20.05" customHeight="1">
      <c r="A2" s="9"/>
      <c r="B2" s="9"/>
      <c r="C2" s="9"/>
      <c r="D2" s="9"/>
      <c r="E2" s="9"/>
      <c r="F2" s="9"/>
      <c r="G2" s="9"/>
      <c r="H2" s="9"/>
    </row>
    <row r="3" spans="1:8" ht="14.4" customHeight="1">
      <c r="A3" s="10" t="s">
        <v>21</v>
      </c>
      <c r="B3" s="10"/>
      <c r="C3" s="10"/>
      <c r="D3" s="10"/>
      <c r="E3" s="10"/>
      <c r="F3" s="10"/>
      <c r="G3" s="10"/>
      <c r="H3" s="10"/>
    </row>
    <row r="4" spans="1:8" ht="14.4" customHeight="1"/>
    <row r="5" spans="1:8" ht="14.4" customHeight="1">
      <c r="A5" s="1" t="s">
        <v>22</v>
      </c>
      <c r="B5" s="1" t="s">
        <v>23</v>
      </c>
      <c r="C5" s="1" t="s">
        <v>24</v>
      </c>
      <c r="D5" s="1" t="s">
        <v>25</v>
      </c>
      <c r="F5" s="7" t="s">
        <v>26</v>
      </c>
      <c r="G5" s="7" t="s">
        <v>27</v>
      </c>
      <c r="H5" s="7" t="s">
        <v>28</v>
      </c>
    </row>
    <row r="6" spans="1:8" ht="31.7" customHeight="1">
      <c r="A6" s="5" t="s">
        <v>29</v>
      </c>
      <c r="B6" s="6">
        <v>0.25</v>
      </c>
      <c r="C6" s="5" t="s">
        <v>30</v>
      </c>
      <c r="D6" s="5" t="s">
        <v>31</v>
      </c>
      <c r="F6" s="5" t="s">
        <v>32</v>
      </c>
      <c r="G6" s="5" t="s">
        <v>33</v>
      </c>
      <c r="H6" s="5" t="s">
        <v>34</v>
      </c>
    </row>
    <row r="7" spans="1:8" ht="40.299999999999997" customHeight="1">
      <c r="A7" s="5" t="s">
        <v>35</v>
      </c>
      <c r="B7" s="6">
        <v>0.2</v>
      </c>
      <c r="C7" s="5" t="s">
        <v>36</v>
      </c>
      <c r="D7" s="5" t="s">
        <v>37</v>
      </c>
      <c r="F7" s="5" t="s">
        <v>38</v>
      </c>
      <c r="G7" s="5" t="s">
        <v>39</v>
      </c>
      <c r="H7" s="5" t="s">
        <v>40</v>
      </c>
    </row>
    <row r="8" spans="1:8" ht="41.95" customHeight="1">
      <c r="A8" s="5" t="s">
        <v>41</v>
      </c>
      <c r="B8" s="6">
        <v>0.2</v>
      </c>
      <c r="C8" s="5" t="s">
        <v>42</v>
      </c>
      <c r="D8" s="5" t="s">
        <v>43</v>
      </c>
      <c r="F8" s="5" t="s">
        <v>44</v>
      </c>
      <c r="G8" s="5" t="s">
        <v>45</v>
      </c>
      <c r="H8" s="5" t="s">
        <v>46</v>
      </c>
    </row>
    <row r="9" spans="1:8" ht="43" customHeight="1">
      <c r="A9" s="5" t="s">
        <v>47</v>
      </c>
      <c r="B9" s="6">
        <v>0.15</v>
      </c>
      <c r="C9" s="5" t="s">
        <v>48</v>
      </c>
      <c r="D9" s="5" t="s">
        <v>49</v>
      </c>
      <c r="F9" s="8"/>
      <c r="G9" s="8"/>
      <c r="H9" s="8"/>
    </row>
    <row r="10" spans="1:8" ht="44.1" customHeight="1">
      <c r="A10" s="5" t="s">
        <v>50</v>
      </c>
      <c r="B10" s="6">
        <v>0.1</v>
      </c>
      <c r="C10" s="5" t="s">
        <v>51</v>
      </c>
      <c r="D10" s="5" t="s">
        <v>52</v>
      </c>
      <c r="F10" s="11" t="s">
        <v>53</v>
      </c>
      <c r="G10" s="11"/>
      <c r="H10" s="11"/>
    </row>
    <row r="11" spans="1:8" ht="46.75" customHeight="1">
      <c r="A11" s="5" t="s">
        <v>54</v>
      </c>
      <c r="B11" s="6">
        <v>0.1</v>
      </c>
      <c r="C11" s="5" t="s">
        <v>55</v>
      </c>
      <c r="D11" s="5" t="s">
        <v>56</v>
      </c>
      <c r="F11" s="7" t="s">
        <v>57</v>
      </c>
      <c r="G11" s="7" t="s">
        <v>58</v>
      </c>
      <c r="H11" s="7" t="s">
        <v>59</v>
      </c>
    </row>
    <row r="12" spans="1:8" ht="27.95" customHeight="1">
      <c r="A12" s="3" t="s">
        <v>60</v>
      </c>
      <c r="B12" s="4">
        <f>SUM(B6:B11)</f>
        <v>1</v>
      </c>
      <c r="F12" s="5" t="s">
        <v>61</v>
      </c>
      <c r="G12" s="5" t="s">
        <v>62</v>
      </c>
      <c r="H12" s="5" t="s">
        <v>63</v>
      </c>
    </row>
    <row r="13" spans="1:8" ht="29.05" customHeight="1">
      <c r="F13" s="5" t="s">
        <v>64</v>
      </c>
      <c r="G13" s="5" t="s">
        <v>65</v>
      </c>
      <c r="H13" s="5" t="s">
        <v>66</v>
      </c>
    </row>
    <row r="14" spans="1:8" ht="21.5" customHeight="1">
      <c r="A14" s="11" t="s">
        <v>67</v>
      </c>
      <c r="B14" s="11"/>
      <c r="C14" s="11"/>
      <c r="D14" s="11"/>
      <c r="F14" s="5" t="s">
        <v>68</v>
      </c>
      <c r="G14" s="5" t="s">
        <v>69</v>
      </c>
      <c r="H14" s="5" t="s">
        <v>70</v>
      </c>
    </row>
    <row r="15" spans="1:8" ht="14.4" customHeight="1">
      <c r="A15" s="10" t="s">
        <v>71</v>
      </c>
      <c r="B15" s="10"/>
      <c r="C15" s="10"/>
      <c r="D15" s="10"/>
    </row>
    <row r="16" spans="1:8" ht="14.4" customHeight="1">
      <c r="A16" s="10"/>
      <c r="B16" s="10"/>
      <c r="C16" s="10"/>
      <c r="D16" s="10"/>
    </row>
    <row r="17" spans="1:4" ht="14.4" customHeight="1">
      <c r="A17" s="10"/>
      <c r="B17" s="10"/>
      <c r="C17" s="10"/>
      <c r="D17" s="10"/>
    </row>
    <row r="18" spans="1:4" ht="14.4" customHeight="1"/>
    <row r="19" spans="1:4" ht="14.4" customHeight="1"/>
    <row r="20" spans="1:4" ht="14.4" customHeight="1"/>
    <row r="21" spans="1:4" ht="14.4" customHeight="1"/>
    <row r="22" spans="1:4" ht="14.4" customHeight="1"/>
    <row r="23" spans="1:4" ht="14.4" customHeight="1"/>
    <row r="24" spans="1:4" ht="14.4" customHeight="1"/>
    <row r="25" spans="1:4" ht="14.4" customHeight="1"/>
    <row r="26" spans="1:4" ht="14.4" customHeight="1"/>
    <row r="27" spans="1:4" ht="14.4" customHeight="1"/>
    <row r="28" spans="1:4" ht="14.4" customHeight="1"/>
    <row r="29" spans="1:4" ht="14.4" customHeight="1"/>
    <row r="30" spans="1:4" ht="14.4" customHeight="1"/>
  </sheetData>
  <mergeCells count="5">
    <mergeCell ref="A1:H2"/>
    <mergeCell ref="A3:H3"/>
    <mergeCell ref="F10:H10"/>
    <mergeCell ref="A14:D14"/>
    <mergeCell ref="A15:D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workbookViewId="0">
      <selection activeCell="G14" sqref="G14"/>
    </sheetView>
  </sheetViews>
  <sheetFormatPr defaultRowHeight="13.45"/>
  <cols>
    <col min="1" max="8" width="20" customWidth="1"/>
  </cols>
  <sheetData>
    <row r="1" spans="1:8" ht="14.4" customHeight="1">
      <c r="A1" s="7" t="s">
        <v>156</v>
      </c>
      <c r="B1" s="7" t="s">
        <v>78</v>
      </c>
      <c r="C1" s="7" t="s">
        <v>79</v>
      </c>
      <c r="D1" s="7" t="s">
        <v>85</v>
      </c>
      <c r="E1" s="7" t="s">
        <v>18</v>
      </c>
      <c r="F1" s="7" t="s">
        <v>157</v>
      </c>
      <c r="G1" s="7" t="s">
        <v>158</v>
      </c>
      <c r="H1" s="7" t="s">
        <v>86</v>
      </c>
    </row>
    <row r="2" spans="1:8" ht="14.4" customHeight="1">
      <c r="A2" s="12">
        <v>1</v>
      </c>
      <c r="B2" s="12" t="s">
        <v>159</v>
      </c>
      <c r="C2" s="12" t="s">
        <v>160</v>
      </c>
      <c r="D2" s="12" t="s">
        <v>161</v>
      </c>
      <c r="E2" s="12" t="s">
        <v>162</v>
      </c>
      <c r="F2" s="12"/>
      <c r="G2" s="12" t="s">
        <v>163</v>
      </c>
      <c r="H2" s="12" t="s">
        <v>161</v>
      </c>
    </row>
    <row r="3" spans="1:8" ht="14.4" customHeight="1">
      <c r="A3" s="12">
        <v>2</v>
      </c>
      <c r="B3" s="12" t="s">
        <v>164</v>
      </c>
      <c r="C3" s="12" t="s">
        <v>165</v>
      </c>
      <c r="D3" s="12" t="s">
        <v>166</v>
      </c>
      <c r="E3" s="12" t="s">
        <v>167</v>
      </c>
      <c r="F3" s="12" t="s">
        <v>32</v>
      </c>
      <c r="G3" s="12" t="s">
        <v>168</v>
      </c>
      <c r="H3" s="12" t="s">
        <v>169</v>
      </c>
    </row>
    <row r="4" spans="1:8" ht="31.2" customHeight="1">
      <c r="A4" s="12">
        <v>3</v>
      </c>
      <c r="B4" s="12" t="s">
        <v>170</v>
      </c>
      <c r="C4" s="12" t="s">
        <v>171</v>
      </c>
      <c r="D4" s="12" t="s">
        <v>172</v>
      </c>
      <c r="E4" s="12" t="s">
        <v>173</v>
      </c>
      <c r="F4" s="12" t="s">
        <v>38</v>
      </c>
      <c r="G4" s="12"/>
      <c r="H4" s="12" t="s">
        <v>174</v>
      </c>
    </row>
    <row r="5" spans="1:8" ht="14.4" customHeight="1">
      <c r="A5" s="12">
        <v>4</v>
      </c>
      <c r="B5" s="12" t="s">
        <v>175</v>
      </c>
      <c r="C5" s="12" t="s">
        <v>176</v>
      </c>
      <c r="D5" s="12" t="s">
        <v>177</v>
      </c>
      <c r="E5" s="12" t="s">
        <v>178</v>
      </c>
      <c r="F5" s="12" t="s">
        <v>44</v>
      </c>
      <c r="G5" s="12"/>
      <c r="H5" s="12" t="s">
        <v>179</v>
      </c>
    </row>
    <row r="6" spans="1:8" ht="14.4" customHeight="1">
      <c r="A6" s="12">
        <v>5</v>
      </c>
      <c r="B6" s="12" t="s">
        <v>176</v>
      </c>
      <c r="C6" s="12" t="s">
        <v>180</v>
      </c>
      <c r="D6" s="12" t="s">
        <v>181</v>
      </c>
      <c r="E6" s="12" t="s">
        <v>182</v>
      </c>
      <c r="F6" s="12"/>
      <c r="G6" s="12"/>
      <c r="H6" s="12" t="s">
        <v>183</v>
      </c>
    </row>
    <row r="7" spans="1:8" ht="14.4" customHeight="1">
      <c r="A7" s="12"/>
      <c r="B7" s="12" t="s">
        <v>184</v>
      </c>
      <c r="C7" s="12" t="s">
        <v>185</v>
      </c>
      <c r="D7" s="12" t="s">
        <v>186</v>
      </c>
      <c r="E7" s="12" t="s">
        <v>187</v>
      </c>
      <c r="F7" s="12"/>
      <c r="G7" s="12"/>
      <c r="H7" s="12" t="s">
        <v>188</v>
      </c>
    </row>
    <row r="8" spans="1:8" ht="14.4" customHeight="1">
      <c r="A8" s="12"/>
      <c r="B8" s="12" t="s">
        <v>189</v>
      </c>
      <c r="C8" s="12" t="s">
        <v>190</v>
      </c>
      <c r="D8" s="12" t="s">
        <v>191</v>
      </c>
      <c r="E8" s="12" t="s">
        <v>192</v>
      </c>
      <c r="F8" s="12"/>
      <c r="G8" s="12"/>
      <c r="H8" s="12"/>
    </row>
    <row r="9" spans="1:8" ht="14.4" customHeight="1">
      <c r="A9" s="12"/>
      <c r="B9" s="12" t="s">
        <v>180</v>
      </c>
      <c r="C9" s="12" t="s">
        <v>193</v>
      </c>
      <c r="D9" s="12"/>
      <c r="E9" s="12"/>
      <c r="F9" s="12"/>
      <c r="G9" s="12"/>
      <c r="H9" s="12"/>
    </row>
    <row r="10" spans="1:8" ht="14.4" customHeight="1">
      <c r="A10" s="12"/>
      <c r="B10" s="12" t="s">
        <v>194</v>
      </c>
      <c r="C10" s="12" t="s">
        <v>194</v>
      </c>
      <c r="D10" s="12"/>
      <c r="E10" s="12"/>
      <c r="F10" s="12"/>
      <c r="G10" s="12"/>
      <c r="H10" s="12"/>
    </row>
    <row r="11" spans="1:8" ht="14.4" customHeight="1"/>
    <row r="12" spans="1:8" ht="14.4" customHeight="1"/>
    <row r="13" spans="1:8" ht="14.4" customHeight="1"/>
    <row r="14" spans="1:8" ht="14.4" customHeight="1"/>
    <row r="15" spans="1:8" ht="14.4" customHeight="1"/>
    <row r="16" spans="1:8" ht="14.4" customHeight="1"/>
    <row r="17" ht="14.4" customHeight="1"/>
    <row r="18" ht="14.4" customHeight="1"/>
    <row r="19" ht="14.4" customHeight="1"/>
    <row r="20" ht="14.4" customHeight="1"/>
    <row r="21" ht="14.4" customHeight="1"/>
    <row r="22" ht="14.4" customHeight="1"/>
    <row r="23" ht="14.4" customHeight="1"/>
    <row r="24" ht="14.4" customHeight="1"/>
    <row r="25" ht="14.4" customHeight="1"/>
    <row r="26" ht="14.4" customHeight="1"/>
    <row r="27" ht="14.4" customHeight="1"/>
    <row r="28" ht="14.4" customHeight="1"/>
    <row r="29" ht="14.4" customHeight="1"/>
    <row r="30" ht="14.4"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0"/>
  <sheetViews>
    <sheetView topLeftCell="J1" zoomScale="60" zoomScaleNormal="60" workbookViewId="0">
      <selection activeCell="Q14" sqref="Q14"/>
    </sheetView>
  </sheetViews>
  <sheetFormatPr defaultRowHeight="13.45"/>
  <cols>
    <col min="1" max="1" width="12" customWidth="1"/>
    <col min="2" max="2" width="25.81640625" customWidth="1"/>
    <col min="3" max="3" width="41.453125" customWidth="1"/>
    <col min="4" max="4" width="27.90625" customWidth="1"/>
    <col min="5" max="5" width="20.6328125" customWidth="1"/>
    <col min="6" max="6" width="16" customWidth="1"/>
    <col min="7" max="7" width="24" customWidth="1"/>
    <col min="8" max="9" width="14" customWidth="1"/>
    <col min="10" max="10" width="20" customWidth="1"/>
    <col min="11" max="11" width="55.26953125" customWidth="1"/>
    <col min="12" max="12" width="47.36328125" customWidth="1"/>
    <col min="13" max="13" width="20" customWidth="1"/>
    <col min="14" max="14" width="18" customWidth="1"/>
    <col min="15" max="15" width="16" customWidth="1"/>
    <col min="16" max="16" width="26.6328125" customWidth="1"/>
    <col min="17" max="17" width="69.08984375" customWidth="1"/>
    <col min="18" max="18" width="30" customWidth="1"/>
  </cols>
  <sheetData>
    <row r="1" spans="1:18" ht="20.05" customHeight="1">
      <c r="A1" s="9" t="s">
        <v>72</v>
      </c>
      <c r="B1" s="9"/>
      <c r="C1" s="9"/>
      <c r="D1" s="9"/>
      <c r="E1" s="9"/>
      <c r="F1" s="9"/>
      <c r="G1" s="9"/>
      <c r="H1" s="9"/>
      <c r="I1" s="9"/>
      <c r="J1" s="9"/>
      <c r="K1" s="9"/>
      <c r="L1" s="9"/>
      <c r="M1" s="9"/>
      <c r="N1" s="9"/>
      <c r="O1" s="9"/>
      <c r="P1" s="9"/>
      <c r="Q1" s="9"/>
      <c r="R1" s="9"/>
    </row>
    <row r="2" spans="1:18" ht="20.05" customHeight="1">
      <c r="A2" s="9"/>
      <c r="B2" s="9"/>
      <c r="C2" s="9"/>
      <c r="D2" s="9"/>
      <c r="E2" s="9"/>
      <c r="F2" s="9"/>
      <c r="G2" s="9"/>
      <c r="H2" s="9"/>
      <c r="I2" s="9"/>
      <c r="J2" s="9"/>
      <c r="K2" s="9"/>
      <c r="L2" s="9"/>
      <c r="M2" s="9"/>
      <c r="N2" s="9"/>
      <c r="O2" s="9"/>
      <c r="P2" s="9"/>
      <c r="Q2" s="9"/>
      <c r="R2" s="9"/>
    </row>
    <row r="3" spans="1:18" ht="14.4" customHeight="1">
      <c r="A3" s="10" t="s">
        <v>73</v>
      </c>
      <c r="B3" s="10"/>
      <c r="C3" s="10"/>
      <c r="D3" s="10"/>
      <c r="E3" s="10"/>
      <c r="F3" s="10"/>
      <c r="G3" s="10"/>
      <c r="H3" s="10"/>
      <c r="I3" s="10"/>
      <c r="J3" s="10"/>
      <c r="K3" s="10"/>
      <c r="L3" s="10"/>
      <c r="M3" s="10"/>
      <c r="N3" s="10"/>
      <c r="O3" s="10"/>
      <c r="P3" s="10"/>
      <c r="Q3" s="10"/>
      <c r="R3" s="10"/>
    </row>
    <row r="4" spans="1:18" ht="14.4" customHeight="1">
      <c r="A4" s="7" t="s">
        <v>74</v>
      </c>
      <c r="B4" s="7" t="s">
        <v>75</v>
      </c>
      <c r="C4" s="7" t="s">
        <v>76</v>
      </c>
      <c r="D4" s="1" t="s">
        <v>79</v>
      </c>
      <c r="E4" s="7" t="s">
        <v>77</v>
      </c>
      <c r="F4" s="7" t="s">
        <v>78</v>
      </c>
      <c r="G4" s="7" t="s">
        <v>89</v>
      </c>
      <c r="H4" s="7" t="s">
        <v>80</v>
      </c>
      <c r="I4" s="7" t="s">
        <v>81</v>
      </c>
      <c r="J4" s="7" t="s">
        <v>82</v>
      </c>
      <c r="K4" s="7" t="s">
        <v>83</v>
      </c>
      <c r="L4" s="7" t="s">
        <v>84</v>
      </c>
      <c r="M4" s="7" t="s">
        <v>85</v>
      </c>
      <c r="N4" s="7" t="s">
        <v>86</v>
      </c>
      <c r="O4" s="7" t="s">
        <v>87</v>
      </c>
      <c r="P4" s="7" t="s">
        <v>88</v>
      </c>
      <c r="Q4" s="7" t="s">
        <v>90</v>
      </c>
    </row>
    <row r="5" spans="1:18" ht="55.35" customHeight="1">
      <c r="A5" s="19" t="s">
        <v>91</v>
      </c>
      <c r="B5" s="16" t="s">
        <v>195</v>
      </c>
      <c r="C5" s="17" t="s">
        <v>201</v>
      </c>
      <c r="D5" s="19" t="s">
        <v>160</v>
      </c>
      <c r="E5" s="18" t="s">
        <v>228</v>
      </c>
      <c r="F5" s="19" t="s">
        <v>159</v>
      </c>
      <c r="G5" s="19" t="s">
        <v>173</v>
      </c>
      <c r="H5" s="21">
        <v>45658</v>
      </c>
      <c r="I5" s="21">
        <v>46752</v>
      </c>
      <c r="J5" s="18" t="s">
        <v>243</v>
      </c>
      <c r="K5" s="43" t="s">
        <v>248</v>
      </c>
      <c r="L5" s="41" t="s">
        <v>264</v>
      </c>
      <c r="M5" s="19" t="s">
        <v>177</v>
      </c>
      <c r="N5" s="19" t="s">
        <v>169</v>
      </c>
      <c r="O5" s="19" t="s">
        <v>163</v>
      </c>
      <c r="P5" s="19" t="s">
        <v>163</v>
      </c>
      <c r="Q5" s="18" t="s">
        <v>291</v>
      </c>
    </row>
    <row r="6" spans="1:18" ht="63.95" customHeight="1">
      <c r="A6" s="15" t="s">
        <v>92</v>
      </c>
      <c r="B6" s="16" t="s">
        <v>196</v>
      </c>
      <c r="C6" s="17" t="s">
        <v>202</v>
      </c>
      <c r="D6" s="12" t="s">
        <v>193</v>
      </c>
      <c r="E6" s="18" t="s">
        <v>229</v>
      </c>
      <c r="F6" s="12" t="s">
        <v>175</v>
      </c>
      <c r="G6" s="12" t="s">
        <v>173</v>
      </c>
      <c r="H6" s="21">
        <v>45658</v>
      </c>
      <c r="I6" s="21">
        <v>46387</v>
      </c>
      <c r="J6" s="18" t="s">
        <v>243</v>
      </c>
      <c r="K6" s="32" t="s">
        <v>249</v>
      </c>
      <c r="L6" s="41" t="s">
        <v>265</v>
      </c>
      <c r="M6" s="12" t="s">
        <v>181</v>
      </c>
      <c r="N6" s="12" t="s">
        <v>188</v>
      </c>
      <c r="O6" s="12" t="s">
        <v>163</v>
      </c>
      <c r="P6" s="12" t="s">
        <v>163</v>
      </c>
      <c r="Q6" s="18" t="s">
        <v>292</v>
      </c>
    </row>
    <row r="7" spans="1:18" ht="59.1" customHeight="1">
      <c r="A7" s="19" t="s">
        <v>93</v>
      </c>
      <c r="B7" s="16" t="s">
        <v>197</v>
      </c>
      <c r="C7" s="17" t="s">
        <v>203</v>
      </c>
      <c r="D7" s="19" t="s">
        <v>160</v>
      </c>
      <c r="E7" s="18" t="s">
        <v>230</v>
      </c>
      <c r="F7" s="19" t="s">
        <v>189</v>
      </c>
      <c r="G7" s="19" t="s">
        <v>178</v>
      </c>
      <c r="H7" s="21">
        <v>45170</v>
      </c>
      <c r="I7" s="21">
        <v>46265</v>
      </c>
      <c r="J7" s="18" t="s">
        <v>244</v>
      </c>
      <c r="K7" s="32" t="s">
        <v>250</v>
      </c>
      <c r="L7" s="41" t="s">
        <v>266</v>
      </c>
      <c r="M7" s="19" t="s">
        <v>181</v>
      </c>
      <c r="N7" s="19" t="s">
        <v>188</v>
      </c>
      <c r="O7" s="19" t="s">
        <v>163</v>
      </c>
      <c r="P7" s="19" t="s">
        <v>163</v>
      </c>
      <c r="Q7" s="19" t="s">
        <v>293</v>
      </c>
    </row>
    <row r="8" spans="1:18" ht="57.5" customHeight="1">
      <c r="A8" s="15" t="s">
        <v>94</v>
      </c>
      <c r="B8" s="16" t="s">
        <v>198</v>
      </c>
      <c r="C8" s="17" t="s">
        <v>204</v>
      </c>
      <c r="D8" s="12" t="s">
        <v>176</v>
      </c>
      <c r="E8" s="18" t="s">
        <v>231</v>
      </c>
      <c r="F8" s="12" t="s">
        <v>176</v>
      </c>
      <c r="G8" s="12" t="s">
        <v>173</v>
      </c>
      <c r="H8" s="21">
        <v>46023</v>
      </c>
      <c r="I8" s="21">
        <v>46387</v>
      </c>
      <c r="J8" s="18" t="s">
        <v>243</v>
      </c>
      <c r="K8" s="32" t="s">
        <v>251</v>
      </c>
      <c r="L8" s="41" t="s">
        <v>267</v>
      </c>
      <c r="M8" s="12" t="s">
        <v>166</v>
      </c>
      <c r="N8" s="12" t="s">
        <v>169</v>
      </c>
      <c r="O8" s="12" t="s">
        <v>168</v>
      </c>
      <c r="P8" s="12" t="s">
        <v>163</v>
      </c>
      <c r="Q8" s="12" t="s">
        <v>294</v>
      </c>
    </row>
    <row r="9" spans="1:18" ht="56.95" customHeight="1">
      <c r="A9" s="19" t="s">
        <v>95</v>
      </c>
      <c r="B9" s="16" t="s">
        <v>199</v>
      </c>
      <c r="C9" s="17" t="s">
        <v>180</v>
      </c>
      <c r="D9" s="19" t="s">
        <v>180</v>
      </c>
      <c r="E9" s="18" t="s">
        <v>232</v>
      </c>
      <c r="F9" s="19" t="s">
        <v>180</v>
      </c>
      <c r="G9" s="19" t="s">
        <v>173</v>
      </c>
      <c r="H9" s="21">
        <v>46113</v>
      </c>
      <c r="I9" s="21">
        <v>46477</v>
      </c>
      <c r="J9" s="18" t="s">
        <v>245</v>
      </c>
      <c r="K9" s="32" t="s">
        <v>252</v>
      </c>
      <c r="L9" s="41" t="s">
        <v>268</v>
      </c>
      <c r="M9" s="19" t="s">
        <v>166</v>
      </c>
      <c r="N9" s="19" t="s">
        <v>169</v>
      </c>
      <c r="O9" s="19" t="s">
        <v>168</v>
      </c>
      <c r="P9" s="19" t="s">
        <v>163</v>
      </c>
      <c r="Q9" s="19" t="s">
        <v>295</v>
      </c>
    </row>
    <row r="10" spans="1:18" ht="47.85" customHeight="1">
      <c r="A10" s="15" t="s">
        <v>96</v>
      </c>
      <c r="B10" s="16" t="s">
        <v>200</v>
      </c>
      <c r="C10" s="17" t="s">
        <v>205</v>
      </c>
      <c r="D10" s="12" t="s">
        <v>185</v>
      </c>
      <c r="E10" s="18" t="s">
        <v>227</v>
      </c>
      <c r="F10" s="12" t="s">
        <v>184</v>
      </c>
      <c r="G10" s="12" t="s">
        <v>173</v>
      </c>
      <c r="H10" s="21">
        <v>46023</v>
      </c>
      <c r="I10" s="21">
        <v>46387</v>
      </c>
      <c r="J10" s="18" t="s">
        <v>243</v>
      </c>
      <c r="K10" s="32" t="s">
        <v>253</v>
      </c>
      <c r="L10" s="41" t="s">
        <v>269</v>
      </c>
      <c r="M10" s="12" t="s">
        <v>161</v>
      </c>
      <c r="N10" s="12" t="s">
        <v>161</v>
      </c>
      <c r="O10" s="12" t="s">
        <v>168</v>
      </c>
      <c r="P10" s="12" t="s">
        <v>163</v>
      </c>
      <c r="Q10" s="18" t="s">
        <v>280</v>
      </c>
    </row>
    <row r="11" spans="1:18" ht="53.75" customHeight="1">
      <c r="A11" s="19" t="s">
        <v>97</v>
      </c>
      <c r="B11" s="16" t="s">
        <v>206</v>
      </c>
      <c r="C11" s="17" t="s">
        <v>217</v>
      </c>
      <c r="D11" s="19" t="s">
        <v>165</v>
      </c>
      <c r="E11" s="18" t="s">
        <v>226</v>
      </c>
      <c r="F11" s="19" t="s">
        <v>164</v>
      </c>
      <c r="G11" s="19" t="s">
        <v>167</v>
      </c>
      <c r="H11" s="21">
        <v>46235</v>
      </c>
      <c r="I11" s="21">
        <v>46965</v>
      </c>
      <c r="J11" s="18" t="s">
        <v>242</v>
      </c>
      <c r="K11" s="32" t="s">
        <v>254</v>
      </c>
      <c r="L11" s="41" t="s">
        <v>270</v>
      </c>
      <c r="M11" s="19" t="s">
        <v>177</v>
      </c>
      <c r="N11" s="19" t="s">
        <v>169</v>
      </c>
      <c r="O11" s="19" t="s">
        <v>163</v>
      </c>
      <c r="P11" s="19" t="s">
        <v>163</v>
      </c>
      <c r="Q11" s="18" t="s">
        <v>281</v>
      </c>
    </row>
    <row r="12" spans="1:18" ht="73.650000000000006" customHeight="1">
      <c r="A12" s="15" t="s">
        <v>98</v>
      </c>
      <c r="B12" s="16" t="s">
        <v>207</v>
      </c>
      <c r="C12" s="17" t="s">
        <v>218</v>
      </c>
      <c r="D12" s="12" t="s">
        <v>160</v>
      </c>
      <c r="E12" s="18" t="s">
        <v>233</v>
      </c>
      <c r="F12" s="12" t="s">
        <v>189</v>
      </c>
      <c r="G12" s="12" t="s">
        <v>178</v>
      </c>
      <c r="H12" s="21">
        <v>45566</v>
      </c>
      <c r="I12" s="21">
        <v>46295</v>
      </c>
      <c r="J12" s="18" t="s">
        <v>246</v>
      </c>
      <c r="K12" s="32" t="s">
        <v>255</v>
      </c>
      <c r="L12" s="41" t="s">
        <v>271</v>
      </c>
      <c r="M12" s="18" t="s">
        <v>177</v>
      </c>
      <c r="N12" s="44" t="s">
        <v>169</v>
      </c>
      <c r="O12" s="12" t="s">
        <v>163</v>
      </c>
      <c r="P12" s="12" t="s">
        <v>163</v>
      </c>
      <c r="Q12" s="18" t="s">
        <v>282</v>
      </c>
    </row>
    <row r="13" spans="1:18" ht="57.5" customHeight="1">
      <c r="A13" s="19" t="s">
        <v>99</v>
      </c>
      <c r="B13" s="16" t="s">
        <v>208</v>
      </c>
      <c r="C13" s="17" t="s">
        <v>216</v>
      </c>
      <c r="D13" s="19" t="s">
        <v>171</v>
      </c>
      <c r="E13" s="18" t="s">
        <v>234</v>
      </c>
      <c r="F13" s="19" t="s">
        <v>170</v>
      </c>
      <c r="G13" s="19" t="s">
        <v>182</v>
      </c>
      <c r="H13" s="21">
        <v>46023</v>
      </c>
      <c r="I13" s="21">
        <v>46387</v>
      </c>
      <c r="J13" s="18" t="s">
        <v>247</v>
      </c>
      <c r="K13" s="32" t="s">
        <v>256</v>
      </c>
      <c r="L13" s="41" t="s">
        <v>272</v>
      </c>
      <c r="M13" s="19" t="s">
        <v>181</v>
      </c>
      <c r="N13" s="19" t="s">
        <v>183</v>
      </c>
      <c r="O13" s="19" t="s">
        <v>163</v>
      </c>
      <c r="P13" s="19" t="s">
        <v>163</v>
      </c>
      <c r="Q13" s="18" t="s">
        <v>283</v>
      </c>
    </row>
    <row r="14" spans="1:18" ht="50.55" customHeight="1">
      <c r="A14" s="15" t="s">
        <v>100</v>
      </c>
      <c r="B14" s="16" t="s">
        <v>209</v>
      </c>
      <c r="C14" s="18" t="s">
        <v>219</v>
      </c>
      <c r="D14" s="12" t="s">
        <v>165</v>
      </c>
      <c r="E14" s="18" t="s">
        <v>235</v>
      </c>
      <c r="F14" s="12" t="s">
        <v>189</v>
      </c>
      <c r="G14" s="12" t="s">
        <v>173</v>
      </c>
      <c r="H14" s="21">
        <v>46082</v>
      </c>
      <c r="I14" s="21">
        <v>46387</v>
      </c>
      <c r="J14" s="18" t="s">
        <v>243</v>
      </c>
      <c r="K14" s="32" t="s">
        <v>257</v>
      </c>
      <c r="L14" s="41" t="s">
        <v>273</v>
      </c>
      <c r="M14" s="12" t="s">
        <v>186</v>
      </c>
      <c r="N14" s="12" t="s">
        <v>161</v>
      </c>
      <c r="O14" s="12" t="s">
        <v>163</v>
      </c>
      <c r="P14" s="12" t="s">
        <v>163</v>
      </c>
      <c r="Q14" s="18" t="s">
        <v>284</v>
      </c>
    </row>
    <row r="15" spans="1:18" ht="46.75" customHeight="1">
      <c r="A15" s="19" t="s">
        <v>101</v>
      </c>
      <c r="B15" s="16" t="s">
        <v>210</v>
      </c>
      <c r="C15" s="18" t="s">
        <v>220</v>
      </c>
      <c r="D15" s="19" t="s">
        <v>185</v>
      </c>
      <c r="E15" s="18" t="s">
        <v>236</v>
      </c>
      <c r="F15" s="19" t="s">
        <v>189</v>
      </c>
      <c r="G15" s="19" t="s">
        <v>173</v>
      </c>
      <c r="H15" s="21">
        <v>46023</v>
      </c>
      <c r="I15" s="21">
        <v>46387</v>
      </c>
      <c r="J15" s="18" t="s">
        <v>243</v>
      </c>
      <c r="K15" s="32" t="s">
        <v>258</v>
      </c>
      <c r="L15" s="41" t="s">
        <v>274</v>
      </c>
      <c r="M15" s="19" t="s">
        <v>191</v>
      </c>
      <c r="N15" s="19" t="s">
        <v>161</v>
      </c>
      <c r="O15" s="19" t="s">
        <v>163</v>
      </c>
      <c r="P15" s="19" t="s">
        <v>163</v>
      </c>
      <c r="Q15" s="18" t="s">
        <v>285</v>
      </c>
    </row>
    <row r="16" spans="1:18" ht="54.3" customHeight="1">
      <c r="A16" s="15" t="s">
        <v>102</v>
      </c>
      <c r="B16" s="16" t="s">
        <v>211</v>
      </c>
      <c r="C16" s="18" t="s">
        <v>221</v>
      </c>
      <c r="D16" s="12" t="s">
        <v>171</v>
      </c>
      <c r="E16" s="18" t="s">
        <v>237</v>
      </c>
      <c r="F16" s="12" t="s">
        <v>164</v>
      </c>
      <c r="G16" s="12" t="s">
        <v>173</v>
      </c>
      <c r="H16" s="21">
        <v>46023</v>
      </c>
      <c r="I16" s="21">
        <v>46387</v>
      </c>
      <c r="J16" s="18" t="s">
        <v>243</v>
      </c>
      <c r="K16" s="32" t="s">
        <v>259</v>
      </c>
      <c r="L16" s="41" t="s">
        <v>275</v>
      </c>
      <c r="M16" s="12" t="s">
        <v>191</v>
      </c>
      <c r="N16" s="12" t="s">
        <v>169</v>
      </c>
      <c r="O16" s="12" t="s">
        <v>163</v>
      </c>
      <c r="P16" s="12" t="s">
        <v>163</v>
      </c>
      <c r="Q16" s="18" t="s">
        <v>286</v>
      </c>
    </row>
    <row r="17" spans="1:30" ht="54.3" customHeight="1">
      <c r="A17" s="19" t="s">
        <v>103</v>
      </c>
      <c r="B17" s="16" t="s">
        <v>212</v>
      </c>
      <c r="C17" s="18" t="s">
        <v>222</v>
      </c>
      <c r="D17" s="19" t="s">
        <v>171</v>
      </c>
      <c r="E17" s="18" t="s">
        <v>238</v>
      </c>
      <c r="F17" s="19" t="s">
        <v>189</v>
      </c>
      <c r="G17" s="19" t="s">
        <v>167</v>
      </c>
      <c r="H17" s="21">
        <v>46235</v>
      </c>
      <c r="I17" s="21">
        <v>47330</v>
      </c>
      <c r="J17" s="18" t="s">
        <v>243</v>
      </c>
      <c r="K17" s="32" t="s">
        <v>260</v>
      </c>
      <c r="L17" s="41" t="s">
        <v>276</v>
      </c>
      <c r="M17" s="19" t="s">
        <v>166</v>
      </c>
      <c r="N17" s="19" t="s">
        <v>183</v>
      </c>
      <c r="O17" s="19" t="s">
        <v>168</v>
      </c>
      <c r="P17" s="19" t="s">
        <v>163</v>
      </c>
      <c r="Q17" s="18" t="s">
        <v>287</v>
      </c>
    </row>
    <row r="18" spans="1:30" ht="57.5" customHeight="1">
      <c r="A18" s="15" t="s">
        <v>104</v>
      </c>
      <c r="B18" s="16" t="s">
        <v>213</v>
      </c>
      <c r="C18" s="18" t="s">
        <v>223</v>
      </c>
      <c r="D18" s="12" t="s">
        <v>171</v>
      </c>
      <c r="E18" s="18" t="s">
        <v>239</v>
      </c>
      <c r="F18" s="12" t="s">
        <v>189</v>
      </c>
      <c r="G18" s="12" t="s">
        <v>162</v>
      </c>
      <c r="H18" s="21">
        <v>46266</v>
      </c>
      <c r="I18" s="21">
        <v>46387</v>
      </c>
      <c r="J18" s="18" t="s">
        <v>242</v>
      </c>
      <c r="K18" s="32" t="s">
        <v>261</v>
      </c>
      <c r="L18" s="41" t="s">
        <v>277</v>
      </c>
      <c r="M18" s="12" t="s">
        <v>166</v>
      </c>
      <c r="N18" s="12" t="s">
        <v>169</v>
      </c>
      <c r="O18" s="12" t="s">
        <v>168</v>
      </c>
      <c r="P18" s="12" t="s">
        <v>163</v>
      </c>
      <c r="Q18" s="18" t="s">
        <v>288</v>
      </c>
    </row>
    <row r="19" spans="1:30" ht="54.3" customHeight="1">
      <c r="A19" s="19" t="s">
        <v>105</v>
      </c>
      <c r="B19" s="16" t="s">
        <v>214</v>
      </c>
      <c r="C19" s="18" t="s">
        <v>224</v>
      </c>
      <c r="D19" s="19" t="s">
        <v>165</v>
      </c>
      <c r="E19" s="18" t="s">
        <v>240</v>
      </c>
      <c r="F19" s="19" t="s">
        <v>170</v>
      </c>
      <c r="G19" s="19" t="s">
        <v>173</v>
      </c>
      <c r="H19" s="21">
        <v>46023</v>
      </c>
      <c r="I19" s="21">
        <v>46387</v>
      </c>
      <c r="J19" s="18" t="s">
        <v>245</v>
      </c>
      <c r="K19" s="32" t="s">
        <v>262</v>
      </c>
      <c r="L19" s="41" t="s">
        <v>278</v>
      </c>
      <c r="M19" s="19" t="s">
        <v>166</v>
      </c>
      <c r="N19" s="19" t="s">
        <v>188</v>
      </c>
      <c r="O19" s="19" t="s">
        <v>168</v>
      </c>
      <c r="P19" s="19" t="s">
        <v>163</v>
      </c>
      <c r="Q19" s="18" t="s">
        <v>289</v>
      </c>
    </row>
    <row r="20" spans="1:30" ht="54.8" customHeight="1">
      <c r="A20" s="15" t="s">
        <v>106</v>
      </c>
      <c r="B20" s="16" t="s">
        <v>215</v>
      </c>
      <c r="C20" s="18" t="s">
        <v>225</v>
      </c>
      <c r="D20" s="12" t="s">
        <v>190</v>
      </c>
      <c r="E20" s="18" t="s">
        <v>241</v>
      </c>
      <c r="F20" s="12" t="s">
        <v>180</v>
      </c>
      <c r="G20" s="12" t="s">
        <v>182</v>
      </c>
      <c r="H20" s="21">
        <v>45748</v>
      </c>
      <c r="I20" s="21">
        <v>46477</v>
      </c>
      <c r="J20" s="18" t="s">
        <v>244</v>
      </c>
      <c r="K20" s="32" t="s">
        <v>263</v>
      </c>
      <c r="L20" s="41" t="s">
        <v>279</v>
      </c>
      <c r="M20" s="12" t="s">
        <v>181</v>
      </c>
      <c r="N20" s="12" t="s">
        <v>169</v>
      </c>
      <c r="O20" s="12" t="s">
        <v>168</v>
      </c>
      <c r="P20" s="12" t="s">
        <v>163</v>
      </c>
      <c r="Q20" s="18" t="s">
        <v>290</v>
      </c>
      <c r="R20" s="48"/>
      <c r="S20" s="48"/>
      <c r="T20" s="48"/>
      <c r="U20" s="48"/>
      <c r="V20" s="48"/>
      <c r="W20" s="48"/>
      <c r="X20" s="48"/>
      <c r="Y20" s="48"/>
      <c r="Z20" s="48"/>
      <c r="AA20" s="48"/>
      <c r="AB20" s="48"/>
      <c r="AC20" s="48"/>
      <c r="AD20" s="48"/>
    </row>
    <row r="21" spans="1:30" s="46" customFormat="1" ht="14.4" customHeight="1">
      <c r="A21" s="19" t="s">
        <v>107</v>
      </c>
      <c r="B21" s="45"/>
      <c r="C21" s="19"/>
      <c r="D21" s="45"/>
      <c r="E21" s="19"/>
      <c r="F21" s="19"/>
      <c r="G21" s="19"/>
      <c r="H21" s="45"/>
      <c r="I21" s="45"/>
      <c r="J21" s="45"/>
      <c r="K21" s="19"/>
      <c r="L21" s="19"/>
      <c r="M21" s="19"/>
      <c r="N21" s="19"/>
      <c r="O21" s="19"/>
      <c r="P21" s="19"/>
      <c r="Q21" s="19"/>
      <c r="R21" s="48"/>
      <c r="S21" s="48"/>
      <c r="T21" s="48"/>
      <c r="U21" s="48"/>
      <c r="V21" s="48"/>
      <c r="W21" s="48"/>
      <c r="X21" s="48"/>
      <c r="Y21" s="48"/>
      <c r="Z21" s="48"/>
      <c r="AA21" s="48"/>
      <c r="AB21" s="48"/>
      <c r="AC21" s="48"/>
      <c r="AD21" s="48"/>
    </row>
    <row r="22" spans="1:30" ht="14.4" customHeight="1">
      <c r="A22" s="15" t="s">
        <v>108</v>
      </c>
      <c r="B22" s="12"/>
      <c r="C22" s="12"/>
      <c r="D22" s="12"/>
      <c r="E22" s="12"/>
      <c r="F22" s="12"/>
      <c r="G22" s="12"/>
      <c r="H22" s="20"/>
      <c r="I22" s="20"/>
      <c r="J22" s="12"/>
      <c r="K22" s="12"/>
      <c r="L22" s="12"/>
      <c r="M22" s="12"/>
      <c r="N22" s="12"/>
      <c r="O22" s="12"/>
      <c r="P22" s="12"/>
      <c r="Q22" s="12"/>
      <c r="R22" s="48"/>
      <c r="S22" s="48"/>
      <c r="T22" s="48"/>
      <c r="U22" s="48"/>
      <c r="V22" s="48"/>
      <c r="W22" s="48"/>
      <c r="X22" s="48"/>
      <c r="Y22" s="48"/>
      <c r="Z22" s="48"/>
      <c r="AA22" s="48"/>
      <c r="AB22" s="48"/>
      <c r="AC22" s="48"/>
      <c r="AD22" s="48"/>
    </row>
    <row r="23" spans="1:30" s="46" customFormat="1" ht="14.4" customHeight="1">
      <c r="A23" s="19" t="s">
        <v>109</v>
      </c>
      <c r="B23" s="19"/>
      <c r="C23" s="19"/>
      <c r="D23" s="19"/>
      <c r="E23" s="19"/>
      <c r="F23" s="19"/>
      <c r="G23" s="19"/>
      <c r="H23" s="47"/>
      <c r="I23" s="47"/>
      <c r="J23" s="19"/>
      <c r="K23" s="19"/>
      <c r="L23" s="19"/>
      <c r="M23" s="19"/>
      <c r="N23" s="19"/>
      <c r="O23" s="19"/>
      <c r="P23" s="19"/>
      <c r="Q23" s="19"/>
      <c r="R23" s="48"/>
      <c r="S23" s="48"/>
      <c r="T23" s="48"/>
      <c r="U23" s="48"/>
      <c r="V23" s="48"/>
      <c r="W23" s="48"/>
      <c r="X23" s="48"/>
      <c r="Y23" s="48"/>
      <c r="Z23" s="48"/>
      <c r="AA23" s="48"/>
      <c r="AB23" s="48"/>
      <c r="AC23" s="48"/>
      <c r="AD23" s="48"/>
    </row>
    <row r="24" spans="1:30" ht="14.4" customHeight="1">
      <c r="A24" s="15" t="s">
        <v>110</v>
      </c>
      <c r="B24" s="12"/>
      <c r="C24" s="12"/>
      <c r="D24" s="12"/>
      <c r="E24" s="12"/>
      <c r="F24" s="12"/>
      <c r="G24" s="12"/>
      <c r="H24" s="20"/>
      <c r="I24" s="20"/>
      <c r="J24" s="12"/>
      <c r="K24" s="12"/>
      <c r="L24" s="12"/>
      <c r="M24" s="12"/>
      <c r="N24" s="12"/>
      <c r="O24" s="12"/>
      <c r="P24" s="12"/>
      <c r="Q24" s="12"/>
    </row>
    <row r="25" spans="1:30" ht="14.4" customHeight="1"/>
    <row r="26" spans="1:30" ht="14.4" customHeight="1"/>
    <row r="27" spans="1:30" ht="14.4" customHeight="1"/>
    <row r="28" spans="1:30" ht="14.4" customHeight="1"/>
    <row r="29" spans="1:30" ht="14.4" customHeight="1"/>
    <row r="30" spans="1:30" ht="14.4" customHeight="1"/>
  </sheetData>
  <mergeCells count="2">
    <mergeCell ref="A1:R2"/>
    <mergeCell ref="A3:R3"/>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xr:uid="{00000000-0002-0000-0200-000002000000}">
          <x14:formula1>
            <xm:f>Lists!$D$2:$D$8</xm:f>
          </x14:formula1>
          <xm:sqref>M5:M11 M13:M24</xm:sqref>
        </x14:dataValidation>
        <x14:dataValidation type="list" xr:uid="{00000000-0002-0000-0200-000003000000}">
          <x14:formula1>
            <xm:f>Lists!$H$2:$H$7</xm:f>
          </x14:formula1>
          <xm:sqref>N5:N11 N13:N24</xm:sqref>
        </x14:dataValidation>
        <x14:dataValidation type="list" xr:uid="{00000000-0002-0000-0200-000004000000}">
          <x14:formula1>
            <xm:f>Lists!$G$2:$G$3</xm:f>
          </x14:formula1>
          <xm:sqref>O5:P24</xm:sqref>
        </x14:dataValidation>
        <x14:dataValidation type="list" xr:uid="{00000000-0002-0000-0200-000000000000}">
          <x14:formula1>
            <xm:f>Lists!$B$2:$B$10</xm:f>
          </x14:formula1>
          <xm:sqref>E21:F24 F5:F20</xm:sqref>
        </x14:dataValidation>
        <x14:dataValidation type="list" xr:uid="{00000000-0002-0000-0200-000001000000}">
          <x14:formula1>
            <xm:f>Lists!$C$2:$C$10</xm:f>
          </x14:formula1>
          <xm:sqref>G21:G24 D5:D20</xm:sqref>
        </x14:dataValidation>
        <x14:dataValidation type="list" xr:uid="{00000000-0002-0000-0200-000005000000}">
          <x14:formula1>
            <xm:f>Lists!$E$2:$E$8</xm:f>
          </x14:formula1>
          <xm:sqref>Q21:Q24 G5:G20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
  <sheetViews>
    <sheetView topLeftCell="F1" zoomScale="70" zoomScaleNormal="70" workbookViewId="0">
      <selection activeCell="L21" sqref="L21"/>
    </sheetView>
  </sheetViews>
  <sheetFormatPr defaultRowHeight="13.45"/>
  <cols>
    <col min="1" max="1" width="12" customWidth="1"/>
    <col min="2" max="2" width="24" customWidth="1"/>
    <col min="3" max="3" width="22.08984375" customWidth="1"/>
    <col min="4" max="4" width="21" customWidth="1"/>
    <col min="5" max="5" width="19.54296875" customWidth="1"/>
    <col min="6" max="6" width="22.7265625" customWidth="1"/>
    <col min="7" max="7" width="27" customWidth="1"/>
    <col min="8" max="8" width="26.7265625" customWidth="1"/>
    <col min="9" max="9" width="22.36328125" customWidth="1"/>
    <col min="10" max="10" width="12" customWidth="1"/>
    <col min="11" max="11" width="17.90625" customWidth="1"/>
    <col min="12" max="12" width="81.81640625" customWidth="1"/>
  </cols>
  <sheetData>
    <row r="1" spans="1:12" ht="20.05" customHeight="1">
      <c r="A1" s="9" t="s">
        <v>111</v>
      </c>
      <c r="B1" s="9"/>
      <c r="C1" s="9"/>
      <c r="D1" s="9"/>
      <c r="E1" s="9"/>
      <c r="F1" s="9"/>
      <c r="G1" s="9"/>
      <c r="H1" s="9"/>
      <c r="I1" s="9"/>
      <c r="J1" s="9"/>
      <c r="K1" s="9"/>
      <c r="L1" s="9"/>
    </row>
    <row r="2" spans="1:12" ht="20.05" customHeight="1">
      <c r="A2" s="9"/>
      <c r="B2" s="9"/>
      <c r="C2" s="9"/>
      <c r="D2" s="9"/>
      <c r="E2" s="9"/>
      <c r="F2" s="9"/>
      <c r="G2" s="9"/>
      <c r="H2" s="9"/>
      <c r="I2" s="9"/>
      <c r="J2" s="9"/>
      <c r="K2" s="9"/>
      <c r="L2" s="9"/>
    </row>
    <row r="3" spans="1:12" ht="14.4" customHeight="1">
      <c r="A3" s="10" t="s">
        <v>112</v>
      </c>
      <c r="B3" s="10"/>
      <c r="C3" s="10"/>
      <c r="D3" s="10"/>
      <c r="E3" s="10"/>
      <c r="F3" s="10"/>
      <c r="G3" s="10"/>
      <c r="H3" s="10"/>
      <c r="I3" s="10"/>
      <c r="J3" s="10"/>
      <c r="K3" s="10"/>
      <c r="L3" s="10"/>
    </row>
    <row r="4" spans="1:12" ht="14.4" customHeight="1">
      <c r="A4" s="7" t="s">
        <v>74</v>
      </c>
      <c r="B4" s="7" t="s">
        <v>75</v>
      </c>
      <c r="C4" s="7" t="s">
        <v>113</v>
      </c>
      <c r="D4" s="7" t="s">
        <v>114</v>
      </c>
      <c r="E4" s="7" t="s">
        <v>115</v>
      </c>
      <c r="F4" s="7" t="s">
        <v>116</v>
      </c>
      <c r="G4" s="7" t="s">
        <v>117</v>
      </c>
      <c r="H4" s="7" t="s">
        <v>118</v>
      </c>
      <c r="I4" s="7" t="s">
        <v>119</v>
      </c>
      <c r="J4" s="7" t="s">
        <v>120</v>
      </c>
      <c r="K4" s="7" t="s">
        <v>121</v>
      </c>
      <c r="L4" s="7" t="s">
        <v>122</v>
      </c>
    </row>
    <row r="5" spans="1:12" ht="60.2" customHeight="1">
      <c r="A5" s="15" t="s">
        <v>91</v>
      </c>
      <c r="B5" s="15" t="str">
        <f>IF('Vendor Inventory'!B5="","",'Vendor Inventory'!B5)</f>
        <v>NorthGrid Cloud Services</v>
      </c>
      <c r="C5" s="12">
        <v>5</v>
      </c>
      <c r="D5" s="12">
        <v>5</v>
      </c>
      <c r="E5" s="12">
        <v>5</v>
      </c>
      <c r="F5" s="12">
        <v>4</v>
      </c>
      <c r="G5" s="12">
        <v>4</v>
      </c>
      <c r="H5" s="12">
        <v>5</v>
      </c>
      <c r="I5" s="49">
        <f>IF(COUNT(C5:H5)&lt;6,"",C5*'Tiering Methodology'!$B$6+D5*'Tiering Methodology'!$B$7+E5*'Tiering Methodology'!$B$8+F5*'Tiering Methodology'!$B$9+G5*'Tiering Methodology'!$B$10+H5*'Tiering Methodology'!$B$11)</f>
        <v>4.75</v>
      </c>
      <c r="J5" s="50">
        <f t="shared" ref="J5:J24" si="0">IF(I5="","",I5/5*100)</f>
        <v>95</v>
      </c>
      <c r="K5" s="12" t="str">
        <f t="shared" ref="K5:K24" si="1">IF(COUNT(C5:H5)&lt;6,"",IF(OR(AND(C5=5,H5=5),AND(D5=5,E5&gt;=4),F5=5),"Yes","No"))</f>
        <v>Yes</v>
      </c>
      <c r="L5" s="12" t="s">
        <v>296</v>
      </c>
    </row>
    <row r="6" spans="1:12" ht="60.2" customHeight="1">
      <c r="A6" s="15" t="s">
        <v>92</v>
      </c>
      <c r="B6" s="15" t="str">
        <f>IF('Vendor Inventory'!B6="","",'Vendor Inventory'!B6)</f>
        <v>ClearPay Workforce Solutions</v>
      </c>
      <c r="C6" s="12">
        <v>4</v>
      </c>
      <c r="D6" s="12">
        <v>5</v>
      </c>
      <c r="E6" s="12">
        <v>4</v>
      </c>
      <c r="F6" s="12">
        <v>5</v>
      </c>
      <c r="G6" s="12">
        <v>4</v>
      </c>
      <c r="H6" s="12">
        <v>4</v>
      </c>
      <c r="I6" s="49">
        <f>IF(COUNT(C6:H6)&lt;6,"",C6*'Tiering Methodology'!$B$6+D6*'Tiering Methodology'!$B$7+E6*'Tiering Methodology'!$B$8+F6*'Tiering Methodology'!$B$9+G6*'Tiering Methodology'!$B$10+H6*'Tiering Methodology'!$B$11)</f>
        <v>4.3499999999999996</v>
      </c>
      <c r="J6" s="50">
        <f t="shared" si="0"/>
        <v>86.999999999999986</v>
      </c>
      <c r="K6" s="12" t="str">
        <f t="shared" si="1"/>
        <v>Yes</v>
      </c>
      <c r="L6" s="12" t="s">
        <v>297</v>
      </c>
    </row>
    <row r="7" spans="1:12" ht="60.2" customHeight="1">
      <c r="A7" s="15" t="s">
        <v>93</v>
      </c>
      <c r="B7" s="15" t="str">
        <f>IF('Vendor Inventory'!B7="","",'Vendor Inventory'!B7)</f>
        <v>VenueBridge Tickets</v>
      </c>
      <c r="C7" s="12">
        <v>5</v>
      </c>
      <c r="D7" s="12">
        <v>4</v>
      </c>
      <c r="E7" s="12">
        <v>4</v>
      </c>
      <c r="F7" s="12">
        <v>4</v>
      </c>
      <c r="G7" s="12">
        <v>4</v>
      </c>
      <c r="H7" s="12">
        <v>5</v>
      </c>
      <c r="I7" s="49">
        <f>IF(COUNT(C7:H7)&lt;6,"",C7*'Tiering Methodology'!$B$6+D7*'Tiering Methodology'!$B$7+E7*'Tiering Methodology'!$B$8+F7*'Tiering Methodology'!$B$9+G7*'Tiering Methodology'!$B$10+H7*'Tiering Methodology'!$B$11)</f>
        <v>4.3499999999999996</v>
      </c>
      <c r="J7" s="50">
        <f t="shared" si="0"/>
        <v>86.999999999999986</v>
      </c>
      <c r="K7" s="12" t="str">
        <f t="shared" si="1"/>
        <v>Yes</v>
      </c>
      <c r="L7" s="12" t="s">
        <v>298</v>
      </c>
    </row>
    <row r="8" spans="1:12" ht="60.2" customHeight="1">
      <c r="A8" s="15" t="s">
        <v>94</v>
      </c>
      <c r="B8" s="15" t="str">
        <f>IF('Vendor Inventory'!B8="","",'Vendor Inventory'!B8)</f>
        <v>Harrison, Cole &amp; Mercer LLP</v>
      </c>
      <c r="C8" s="12">
        <v>3</v>
      </c>
      <c r="D8" s="12">
        <v>5</v>
      </c>
      <c r="E8" s="12">
        <v>2</v>
      </c>
      <c r="F8" s="12">
        <v>4</v>
      </c>
      <c r="G8" s="12">
        <v>3</v>
      </c>
      <c r="H8" s="12">
        <v>2</v>
      </c>
      <c r="I8" s="49">
        <f>IF(COUNT(C8:H8)&lt;6,"",C8*'Tiering Methodology'!$B$6+D8*'Tiering Methodology'!$B$7+E8*'Tiering Methodology'!$B$8+F8*'Tiering Methodology'!$B$9+G8*'Tiering Methodology'!$B$10+H8*'Tiering Methodology'!$B$11)</f>
        <v>3.25</v>
      </c>
      <c r="J8" s="50">
        <f t="shared" si="0"/>
        <v>65</v>
      </c>
      <c r="K8" s="12" t="str">
        <f t="shared" si="1"/>
        <v>No</v>
      </c>
      <c r="L8" s="12" t="s">
        <v>299</v>
      </c>
    </row>
    <row r="9" spans="1:12" ht="60.2" customHeight="1">
      <c r="A9" s="15" t="s">
        <v>95</v>
      </c>
      <c r="B9" s="15" t="str">
        <f>IF('Vendor Inventory'!B9="","",'Vendor Inventory'!B9)</f>
        <v>Brightline Creative Group</v>
      </c>
      <c r="C9" s="12">
        <v>2</v>
      </c>
      <c r="D9" s="12">
        <v>3</v>
      </c>
      <c r="E9" s="12">
        <v>2</v>
      </c>
      <c r="F9" s="12">
        <v>3</v>
      </c>
      <c r="G9" s="12">
        <v>4</v>
      </c>
      <c r="H9" s="12">
        <v>2</v>
      </c>
      <c r="I9" s="49">
        <f>IF(COUNT(C9:H9)&lt;6,"",C9*'Tiering Methodology'!$B$6+D9*'Tiering Methodology'!$B$7+E9*'Tiering Methodology'!$B$8+F9*'Tiering Methodology'!$B$9+G9*'Tiering Methodology'!$B$10+H9*'Tiering Methodology'!$B$11)</f>
        <v>2.5500000000000003</v>
      </c>
      <c r="J9" s="50">
        <f t="shared" si="0"/>
        <v>51</v>
      </c>
      <c r="K9" s="12" t="str">
        <f t="shared" si="1"/>
        <v>No</v>
      </c>
      <c r="L9" s="12" t="s">
        <v>300</v>
      </c>
    </row>
    <row r="10" spans="1:12" ht="60.2" customHeight="1">
      <c r="A10" s="15" t="s">
        <v>96</v>
      </c>
      <c r="B10" s="15" t="str">
        <f>IF('Vendor Inventory'!B10="","",'Vendor Inventory'!B10)</f>
        <v>MetroDesk Office Supply</v>
      </c>
      <c r="C10" s="12">
        <v>1</v>
      </c>
      <c r="D10" s="12">
        <v>2</v>
      </c>
      <c r="E10" s="12">
        <v>1</v>
      </c>
      <c r="F10" s="12">
        <v>1</v>
      </c>
      <c r="G10" s="12">
        <v>3</v>
      </c>
      <c r="H10" s="12">
        <v>1</v>
      </c>
      <c r="I10" s="49">
        <f>IF(COUNT(C10:H10)&lt;6,"",C10*'Tiering Methodology'!$B$6+D10*'Tiering Methodology'!$B$7+E10*'Tiering Methodology'!$B$8+F10*'Tiering Methodology'!$B$9+G10*'Tiering Methodology'!$B$10+H10*'Tiering Methodology'!$B$11)</f>
        <v>1.4000000000000001</v>
      </c>
      <c r="J10" s="50">
        <f t="shared" si="0"/>
        <v>28.000000000000004</v>
      </c>
      <c r="K10" s="12" t="str">
        <f t="shared" si="1"/>
        <v>No</v>
      </c>
      <c r="L10" s="12" t="s">
        <v>301</v>
      </c>
    </row>
    <row r="11" spans="1:12" ht="60.2" customHeight="1">
      <c r="A11" s="15" t="s">
        <v>97</v>
      </c>
      <c r="B11" s="15" t="str">
        <f>IF('Vendor Inventory'!B11="","",'Vendor Inventory'!B11)</f>
        <v>SentinelPeak Security</v>
      </c>
      <c r="C11" s="12">
        <v>5</v>
      </c>
      <c r="D11" s="12">
        <v>4</v>
      </c>
      <c r="E11" s="12">
        <v>5</v>
      </c>
      <c r="F11" s="12">
        <v>4</v>
      </c>
      <c r="G11" s="12">
        <v>4</v>
      </c>
      <c r="H11" s="12">
        <v>5</v>
      </c>
      <c r="I11" s="49">
        <f>IF(COUNT(C11:H11)&lt;6,"",C11*'Tiering Methodology'!$B$6+D11*'Tiering Methodology'!$B$7+E11*'Tiering Methodology'!$B$8+F11*'Tiering Methodology'!$B$9+G11*'Tiering Methodology'!$B$10+H11*'Tiering Methodology'!$B$11)</f>
        <v>4.55</v>
      </c>
      <c r="J11" s="50">
        <f t="shared" si="0"/>
        <v>90.999999999999986</v>
      </c>
      <c r="K11" s="12" t="str">
        <f t="shared" si="1"/>
        <v>Yes</v>
      </c>
      <c r="L11" s="12" t="s">
        <v>302</v>
      </c>
    </row>
    <row r="12" spans="1:12" ht="60.2" customHeight="1">
      <c r="A12" s="15" t="s">
        <v>98</v>
      </c>
      <c r="B12" s="15" t="str">
        <f>IF('Vendor Inventory'!B12="","",'Vendor Inventory'!B12)</f>
        <v>CrowdFlow Access Systems</v>
      </c>
      <c r="C12" s="12">
        <v>5</v>
      </c>
      <c r="D12" s="12">
        <v>4</v>
      </c>
      <c r="E12" s="12">
        <v>4</v>
      </c>
      <c r="F12" s="12">
        <v>4</v>
      </c>
      <c r="G12" s="12">
        <v>5</v>
      </c>
      <c r="H12" s="12">
        <v>5</v>
      </c>
      <c r="I12" s="49">
        <f>IF(COUNT(C12:H12)&lt;6,"",C12*'Tiering Methodology'!$B$6+D12*'Tiering Methodology'!$B$7+E12*'Tiering Methodology'!$B$8+F12*'Tiering Methodology'!$B$9+G12*'Tiering Methodology'!$B$10+H12*'Tiering Methodology'!$B$11)</f>
        <v>4.4499999999999993</v>
      </c>
      <c r="J12" s="50">
        <f t="shared" si="0"/>
        <v>88.999999999999986</v>
      </c>
      <c r="K12" s="12" t="str">
        <f t="shared" si="1"/>
        <v>Yes</v>
      </c>
      <c r="L12" s="12" t="s">
        <v>303</v>
      </c>
    </row>
    <row r="13" spans="1:12" ht="60.2" customHeight="1">
      <c r="A13" s="15" t="s">
        <v>99</v>
      </c>
      <c r="B13" s="15" t="str">
        <f>IF('Vendor Inventory'!B13="","",'Vendor Inventory'!B13)</f>
        <v>HarborPoint Payment Solutions</v>
      </c>
      <c r="C13" s="12">
        <v>5</v>
      </c>
      <c r="D13" s="12">
        <v>5</v>
      </c>
      <c r="E13" s="12">
        <v>4</v>
      </c>
      <c r="F13" s="12">
        <v>5</v>
      </c>
      <c r="G13" s="12">
        <v>5</v>
      </c>
      <c r="H13" s="12">
        <v>5</v>
      </c>
      <c r="I13" s="49">
        <f>IF(COUNT(C13:H13)&lt;6,"",C13*'Tiering Methodology'!$B$6+D13*'Tiering Methodology'!$B$7+E13*'Tiering Methodology'!$B$8+F13*'Tiering Methodology'!$B$9+G13*'Tiering Methodology'!$B$10+H13*'Tiering Methodology'!$B$11)</f>
        <v>4.8</v>
      </c>
      <c r="J13" s="50">
        <f t="shared" si="0"/>
        <v>96</v>
      </c>
      <c r="K13" s="12" t="str">
        <f t="shared" si="1"/>
        <v>Yes</v>
      </c>
      <c r="L13" s="12" t="s">
        <v>304</v>
      </c>
    </row>
    <row r="14" spans="1:12" ht="60.2" customHeight="1">
      <c r="A14" s="15" t="s">
        <v>100</v>
      </c>
      <c r="B14" s="15" t="str">
        <f>IF('Vendor Inventory'!B14="","",'Vendor Inventory'!B14)</f>
        <v>StageLink Production Services</v>
      </c>
      <c r="C14" s="12">
        <v>4</v>
      </c>
      <c r="D14" s="12">
        <v>2</v>
      </c>
      <c r="E14" s="12">
        <v>3</v>
      </c>
      <c r="F14" s="12">
        <v>2</v>
      </c>
      <c r="G14" s="12">
        <v>4</v>
      </c>
      <c r="H14" s="12">
        <v>4</v>
      </c>
      <c r="I14" s="49">
        <f>IF(COUNT(C14:H14)&lt;6,"",C14*'Tiering Methodology'!$B$6+D14*'Tiering Methodology'!$B$7+E14*'Tiering Methodology'!$B$8+F14*'Tiering Methodology'!$B$9+G14*'Tiering Methodology'!$B$10+H14*'Tiering Methodology'!$B$11)</f>
        <v>3.0999999999999996</v>
      </c>
      <c r="J14" s="50">
        <f t="shared" si="0"/>
        <v>61.999999999999986</v>
      </c>
      <c r="K14" s="12" t="str">
        <f t="shared" si="1"/>
        <v>No</v>
      </c>
      <c r="L14" s="12" t="s">
        <v>305</v>
      </c>
    </row>
    <row r="15" spans="1:12" ht="60.2" customHeight="1">
      <c r="A15" s="15" t="s">
        <v>101</v>
      </c>
      <c r="B15" s="15" t="str">
        <f>IF('Vendor Inventory'!B15="","",'Vendor Inventory'!B15)</f>
        <v>IronGate Facility Management</v>
      </c>
      <c r="C15" s="12">
        <v>4</v>
      </c>
      <c r="D15" s="12">
        <v>2</v>
      </c>
      <c r="E15" s="12">
        <v>3</v>
      </c>
      <c r="F15" s="12">
        <v>3</v>
      </c>
      <c r="G15" s="12">
        <v>4</v>
      </c>
      <c r="H15" s="12">
        <v>4</v>
      </c>
      <c r="I15" s="49">
        <f>IF(COUNT(C15:H15)&lt;6,"",C15*'Tiering Methodology'!$B$6+D15*'Tiering Methodology'!$B$7+E15*'Tiering Methodology'!$B$8+F15*'Tiering Methodology'!$B$9+G15*'Tiering Methodology'!$B$10+H15*'Tiering Methodology'!$B$11)</f>
        <v>3.25</v>
      </c>
      <c r="J15" s="50">
        <f t="shared" si="0"/>
        <v>65</v>
      </c>
      <c r="K15" s="12" t="str">
        <f t="shared" si="1"/>
        <v>No</v>
      </c>
      <c r="L15" s="12" t="s">
        <v>306</v>
      </c>
    </row>
    <row r="16" spans="1:12" ht="60.2" customHeight="1">
      <c r="A16" s="15" t="s">
        <v>102</v>
      </c>
      <c r="B16" s="15" t="str">
        <f>IF('Vendor Inventory'!B16="","",'Vendor Inventory'!B16)</f>
        <v>SafeGuard Event Staffing</v>
      </c>
      <c r="C16" s="12">
        <v>5</v>
      </c>
      <c r="D16" s="12">
        <v>3</v>
      </c>
      <c r="E16" s="12">
        <v>3</v>
      </c>
      <c r="F16" s="12">
        <v>4</v>
      </c>
      <c r="G16" s="12">
        <v>4</v>
      </c>
      <c r="H16" s="12">
        <v>5</v>
      </c>
      <c r="I16" s="49">
        <f>IF(COUNT(C16:H16)&lt;6,"",C16*'Tiering Methodology'!$B$6+D16*'Tiering Methodology'!$B$7+E16*'Tiering Methodology'!$B$8+F16*'Tiering Methodology'!$B$9+G16*'Tiering Methodology'!$B$10+H16*'Tiering Methodology'!$B$11)</f>
        <v>3.95</v>
      </c>
      <c r="J16" s="50">
        <f t="shared" si="0"/>
        <v>79</v>
      </c>
      <c r="K16" s="12" t="str">
        <f t="shared" si="1"/>
        <v>Yes</v>
      </c>
      <c r="L16" s="12" t="s">
        <v>307</v>
      </c>
    </row>
    <row r="17" spans="1:12" ht="60.2" customHeight="1">
      <c r="A17" s="15" t="s">
        <v>103</v>
      </c>
      <c r="B17" s="15" t="str">
        <f>IF('Vendor Inventory'!B17="","",'Vendor Inventory'!B17)</f>
        <v>FreshTable Hospitality Group</v>
      </c>
      <c r="C17" s="12">
        <v>3</v>
      </c>
      <c r="D17" s="12">
        <v>3</v>
      </c>
      <c r="E17" s="12">
        <v>2</v>
      </c>
      <c r="F17" s="12">
        <v>4</v>
      </c>
      <c r="G17" s="12">
        <v>5</v>
      </c>
      <c r="H17" s="12">
        <v>3</v>
      </c>
      <c r="I17" s="49">
        <f>IF(COUNT(C17:H17)&lt;6,"",C17*'Tiering Methodology'!$B$6+D17*'Tiering Methodology'!$B$7+E17*'Tiering Methodology'!$B$8+F17*'Tiering Methodology'!$B$9+G17*'Tiering Methodology'!$B$10+H17*'Tiering Methodology'!$B$11)</f>
        <v>3.1500000000000004</v>
      </c>
      <c r="J17" s="50">
        <f t="shared" si="0"/>
        <v>63.000000000000014</v>
      </c>
      <c r="K17" s="12" t="str">
        <f t="shared" si="1"/>
        <v>No</v>
      </c>
      <c r="L17" s="12" t="s">
        <v>308</v>
      </c>
    </row>
    <row r="18" spans="1:12" ht="60.2" customHeight="1">
      <c r="A18" s="15" t="s">
        <v>104</v>
      </c>
      <c r="B18" s="15" t="str">
        <f>IF('Vendor Inventory'!B18="","",'Vendor Inventory'!B18)</f>
        <v>RapidRoute Transportation</v>
      </c>
      <c r="C18" s="12">
        <v>2</v>
      </c>
      <c r="D18" s="12">
        <v>3</v>
      </c>
      <c r="E18" s="12">
        <v>2</v>
      </c>
      <c r="F18" s="12">
        <v>3</v>
      </c>
      <c r="G18" s="12">
        <v>4</v>
      </c>
      <c r="H18" s="12">
        <v>3</v>
      </c>
      <c r="I18" s="49">
        <f>IF(COUNT(C18:H18)&lt;6,"",C18*'Tiering Methodology'!$B$6+D18*'Tiering Methodology'!$B$7+E18*'Tiering Methodology'!$B$8+F18*'Tiering Methodology'!$B$9+G18*'Tiering Methodology'!$B$10+H18*'Tiering Methodology'!$B$11)</f>
        <v>2.6500000000000004</v>
      </c>
      <c r="J18" s="50">
        <f t="shared" si="0"/>
        <v>53</v>
      </c>
      <c r="K18" s="12" t="str">
        <f t="shared" si="1"/>
        <v>No</v>
      </c>
      <c r="L18" s="12" t="s">
        <v>309</v>
      </c>
    </row>
    <row r="19" spans="1:12" ht="60.2" customHeight="1">
      <c r="A19" s="15" t="s">
        <v>105</v>
      </c>
      <c r="B19" s="15" t="str">
        <f>IF('Vendor Inventory'!B19="","",'Vendor Inventory'!B19)</f>
        <v>EverSafe Insurance Partners</v>
      </c>
      <c r="C19" s="12">
        <v>3</v>
      </c>
      <c r="D19" s="12">
        <v>5</v>
      </c>
      <c r="E19" s="12">
        <v>2</v>
      </c>
      <c r="F19" s="12">
        <v>4</v>
      </c>
      <c r="G19" s="12">
        <v>5</v>
      </c>
      <c r="H19" s="12">
        <v>2</v>
      </c>
      <c r="I19" s="49">
        <f>IF(COUNT(C19:H19)&lt;6,"",C19*'Tiering Methodology'!$B$6+D19*'Tiering Methodology'!$B$7+E19*'Tiering Methodology'!$B$8+F19*'Tiering Methodology'!$B$9+G19*'Tiering Methodology'!$B$10+H19*'Tiering Methodology'!$B$11)</f>
        <v>3.45</v>
      </c>
      <c r="J19" s="50">
        <f t="shared" si="0"/>
        <v>69</v>
      </c>
      <c r="K19" s="12" t="str">
        <f t="shared" si="1"/>
        <v>No</v>
      </c>
      <c r="L19" s="12" t="s">
        <v>310</v>
      </c>
    </row>
    <row r="20" spans="1:12" ht="60.2" customHeight="1">
      <c r="A20" s="15" t="s">
        <v>106</v>
      </c>
      <c r="B20" s="15" t="str">
        <f>IF('Vendor Inventory'!B20="","",'Vendor Inventory'!B20)</f>
        <v>DataPulse Analytics</v>
      </c>
      <c r="C20" s="12">
        <v>3</v>
      </c>
      <c r="D20" s="12">
        <v>4</v>
      </c>
      <c r="E20" s="12">
        <v>4</v>
      </c>
      <c r="F20" s="12">
        <v>4</v>
      </c>
      <c r="G20" s="12">
        <v>4</v>
      </c>
      <c r="H20" s="12">
        <v>2</v>
      </c>
      <c r="I20" s="49">
        <f>IF(COUNT(C20:H20)&lt;6,"",C20*'Tiering Methodology'!$B$6+D20*'Tiering Methodology'!$B$7+E20*'Tiering Methodology'!$B$8+F20*'Tiering Methodology'!$B$9+G20*'Tiering Methodology'!$B$10+H20*'Tiering Methodology'!$B$11)</f>
        <v>3.5500000000000003</v>
      </c>
      <c r="J20" s="50">
        <f t="shared" si="0"/>
        <v>71.000000000000014</v>
      </c>
      <c r="K20" s="12" t="str">
        <f t="shared" si="1"/>
        <v>No</v>
      </c>
      <c r="L20" s="12" t="s">
        <v>311</v>
      </c>
    </row>
    <row r="21" spans="1:12" ht="44.1" customHeight="1">
      <c r="A21" s="15" t="s">
        <v>107</v>
      </c>
      <c r="B21" s="15" t="str">
        <f>IF('Vendor Inventory'!B21="","",'Vendor Inventory'!B21)</f>
        <v/>
      </c>
      <c r="C21" s="12"/>
      <c r="D21" s="12"/>
      <c r="E21" s="12"/>
      <c r="F21" s="12"/>
      <c r="G21" s="12"/>
      <c r="H21" s="12"/>
      <c r="I21" s="49" t="str">
        <f>IF(COUNT(C21:H21)&lt;6,"",C21*'Tiering Methodology'!$B$6+D21*'Tiering Methodology'!$B$7+E21*'Tiering Methodology'!$B$8+F21*'Tiering Methodology'!$B$9+G21*'Tiering Methodology'!$B$10+H21*'Tiering Methodology'!$B$11)</f>
        <v/>
      </c>
      <c r="J21" s="50" t="str">
        <f t="shared" si="0"/>
        <v/>
      </c>
      <c r="K21" s="12" t="str">
        <f t="shared" si="1"/>
        <v/>
      </c>
      <c r="L21" s="12"/>
    </row>
    <row r="22" spans="1:12" ht="44.1" customHeight="1">
      <c r="A22" s="15" t="s">
        <v>108</v>
      </c>
      <c r="B22" s="15" t="str">
        <f>IF('Vendor Inventory'!B22="","",'Vendor Inventory'!B22)</f>
        <v/>
      </c>
      <c r="C22" s="12"/>
      <c r="D22" s="12"/>
      <c r="E22" s="12"/>
      <c r="F22" s="12"/>
      <c r="G22" s="12"/>
      <c r="H22" s="12"/>
      <c r="I22" s="49" t="str">
        <f>IF(COUNT(C22:H22)&lt;6,"",C22*'Tiering Methodology'!$B$6+D22*'Tiering Methodology'!$B$7+E22*'Tiering Methodology'!$B$8+F22*'Tiering Methodology'!$B$9+G22*'Tiering Methodology'!$B$10+H22*'Tiering Methodology'!$B$11)</f>
        <v/>
      </c>
      <c r="J22" s="50" t="str">
        <f t="shared" si="0"/>
        <v/>
      </c>
      <c r="K22" s="12" t="str">
        <f t="shared" si="1"/>
        <v/>
      </c>
      <c r="L22" s="12"/>
    </row>
    <row r="23" spans="1:12" ht="44.1" customHeight="1">
      <c r="A23" s="15" t="s">
        <v>109</v>
      </c>
      <c r="B23" s="15" t="str">
        <f>IF('Vendor Inventory'!B23="","",'Vendor Inventory'!B23)</f>
        <v/>
      </c>
      <c r="C23" s="12"/>
      <c r="D23" s="12"/>
      <c r="E23" s="12"/>
      <c r="F23" s="12"/>
      <c r="G23" s="12"/>
      <c r="H23" s="12"/>
      <c r="I23" s="49" t="str">
        <f>IF(COUNT(C23:H23)&lt;6,"",C23*'Tiering Methodology'!$B$6+D23*'Tiering Methodology'!$B$7+E23*'Tiering Methodology'!$B$8+F23*'Tiering Methodology'!$B$9+G23*'Tiering Methodology'!$B$10+H23*'Tiering Methodology'!$B$11)</f>
        <v/>
      </c>
      <c r="J23" s="50" t="str">
        <f t="shared" si="0"/>
        <v/>
      </c>
      <c r="K23" s="12" t="str">
        <f t="shared" si="1"/>
        <v/>
      </c>
      <c r="L23" s="12"/>
    </row>
    <row r="24" spans="1:12" ht="44.1" customHeight="1">
      <c r="A24" s="15" t="s">
        <v>110</v>
      </c>
      <c r="B24" s="15" t="str">
        <f>IF('Vendor Inventory'!B24="","",'Vendor Inventory'!B24)</f>
        <v/>
      </c>
      <c r="C24" s="12"/>
      <c r="D24" s="12"/>
      <c r="E24" s="12"/>
      <c r="F24" s="12"/>
      <c r="G24" s="12"/>
      <c r="H24" s="12"/>
      <c r="I24" s="49" t="str">
        <f>IF(COUNT(C24:H24)&lt;6,"",C24*'Tiering Methodology'!$B$6+D24*'Tiering Methodology'!$B$7+E24*'Tiering Methodology'!$B$8+F24*'Tiering Methodology'!$B$9+G24*'Tiering Methodology'!$B$10+H24*'Tiering Methodology'!$B$11)</f>
        <v/>
      </c>
      <c r="J24" s="50" t="str">
        <f t="shared" si="0"/>
        <v/>
      </c>
      <c r="K24" s="12" t="str">
        <f t="shared" si="1"/>
        <v/>
      </c>
      <c r="L24" s="12"/>
    </row>
    <row r="25" spans="1:12" ht="14.4" customHeight="1"/>
    <row r="26" spans="1:12" ht="14.4" customHeight="1"/>
    <row r="27" spans="1:12" ht="14.4" customHeight="1"/>
    <row r="28" spans="1:12" ht="14.4" customHeight="1"/>
    <row r="29" spans="1:12" ht="14.4" customHeight="1"/>
    <row r="30" spans="1:12" ht="14.4" customHeight="1"/>
  </sheetData>
  <mergeCells count="2">
    <mergeCell ref="A1:L2"/>
    <mergeCell ref="A3:L3"/>
  </mergeCells>
  <conditionalFormatting sqref="J5:J24">
    <cfRule type="colorScale" priority="1">
      <colorScale>
        <cfvo type="min"/>
        <cfvo type="percentile" val="50"/>
        <cfvo type="max"/>
        <color rgb="FFDCFCE7"/>
        <color rgb="FFFEF3C7"/>
        <color rgb="FFFEE2E2"/>
      </colorScale>
    </cfRule>
  </conditionalFormatting>
  <conditionalFormatting sqref="K5:K24">
    <cfRule type="expression" dxfId="16" priority="2">
      <formula>K5="Yes"</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300-000000000000}">
          <x14:formula1>
            <xm:f>Lists!$A$2:$A$6</xm:f>
          </x14:formula1>
          <xm:sqref>C5:H24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0"/>
  <sheetViews>
    <sheetView tabSelected="1" topLeftCell="F8" zoomScale="70" zoomScaleNormal="70" workbookViewId="0">
      <selection activeCell="M21" sqref="M21"/>
    </sheetView>
  </sheetViews>
  <sheetFormatPr defaultRowHeight="13.45"/>
  <cols>
    <col min="1" max="1" width="12" customWidth="1"/>
    <col min="2" max="2" width="24" customWidth="1"/>
    <col min="3" max="3" width="14" customWidth="1"/>
    <col min="4" max="4" width="12" customWidth="1"/>
    <col min="5" max="5" width="14" customWidth="1"/>
    <col min="6" max="6" width="15" customWidth="1"/>
    <col min="7" max="7" width="16" customWidth="1"/>
    <col min="8" max="8" width="14" customWidth="1"/>
    <col min="9" max="9" width="32" customWidth="1"/>
    <col min="10" max="10" width="22.453125" customWidth="1"/>
    <col min="11" max="11" width="20" customWidth="1"/>
    <col min="12" max="12" width="18" customWidth="1"/>
    <col min="13" max="13" width="82.453125" customWidth="1"/>
  </cols>
  <sheetData>
    <row r="1" spans="1:13" ht="20.05" customHeight="1">
      <c r="A1" s="9" t="s">
        <v>123</v>
      </c>
      <c r="B1" s="9"/>
      <c r="C1" s="9"/>
      <c r="D1" s="9"/>
      <c r="E1" s="9"/>
      <c r="F1" s="9"/>
      <c r="G1" s="9"/>
      <c r="H1" s="9"/>
      <c r="I1" s="9"/>
      <c r="J1" s="9"/>
      <c r="K1" s="9"/>
      <c r="L1" s="9"/>
      <c r="M1" s="9"/>
    </row>
    <row r="2" spans="1:13" ht="20.05" customHeight="1">
      <c r="A2" s="9"/>
      <c r="B2" s="9"/>
      <c r="C2" s="9"/>
      <c r="D2" s="9"/>
      <c r="E2" s="9"/>
      <c r="F2" s="9"/>
      <c r="G2" s="9"/>
      <c r="H2" s="9"/>
      <c r="I2" s="9"/>
      <c r="J2" s="9"/>
      <c r="K2" s="9"/>
      <c r="L2" s="9"/>
      <c r="M2" s="9"/>
    </row>
    <row r="3" spans="1:13" ht="14.4" customHeight="1">
      <c r="A3" s="10" t="s">
        <v>124</v>
      </c>
      <c r="B3" s="10"/>
      <c r="C3" s="10"/>
      <c r="D3" s="10"/>
      <c r="E3" s="10"/>
      <c r="F3" s="10"/>
      <c r="G3" s="10"/>
      <c r="H3" s="10"/>
      <c r="I3" s="10"/>
      <c r="J3" s="10"/>
      <c r="K3" s="10"/>
      <c r="L3" s="10"/>
      <c r="M3" s="10"/>
    </row>
    <row r="4" spans="1:13" ht="14.4" customHeight="1">
      <c r="A4" s="22" t="s">
        <v>74</v>
      </c>
      <c r="B4" s="23" t="s">
        <v>75</v>
      </c>
      <c r="C4" s="23" t="s">
        <v>125</v>
      </c>
      <c r="D4" s="23" t="s">
        <v>120</v>
      </c>
      <c r="E4" s="23" t="s">
        <v>126</v>
      </c>
      <c r="F4" s="23" t="s">
        <v>127</v>
      </c>
      <c r="G4" s="23" t="s">
        <v>128</v>
      </c>
      <c r="H4" s="23" t="s">
        <v>129</v>
      </c>
      <c r="I4" s="23" t="s">
        <v>130</v>
      </c>
      <c r="J4" s="23" t="s">
        <v>131</v>
      </c>
      <c r="K4" s="23" t="s">
        <v>77</v>
      </c>
      <c r="L4" s="23" t="s">
        <v>132</v>
      </c>
      <c r="M4" s="24" t="s">
        <v>133</v>
      </c>
    </row>
    <row r="5" spans="1:13" ht="67.05" customHeight="1">
      <c r="A5" s="25" t="s">
        <v>91</v>
      </c>
      <c r="B5" s="26" t="str">
        <f>IF('Vendor Inventory'!B5="","",'Vendor Inventory'!B5)</f>
        <v>NorthGrid Cloud Services</v>
      </c>
      <c r="C5" s="27">
        <f>'Risk Assessment'!I5</f>
        <v>4.75</v>
      </c>
      <c r="D5" s="28">
        <f>'Risk Assessment'!J5</f>
        <v>95</v>
      </c>
      <c r="E5" s="26" t="str">
        <f>IF('Risk Assessment'!K5="","",'Risk Assessment'!K5)</f>
        <v>Yes</v>
      </c>
      <c r="F5" s="26" t="str">
        <f t="shared" ref="F5:F24" si="0">IF(D5="","",IF(E5="Yes","Tier 1",IF(D5&gt;=75,"Tier 1",IF(D5&gt;=45,"Tier 2","Tier 3"))))</f>
        <v>Tier 1</v>
      </c>
      <c r="G5" s="29"/>
      <c r="H5" s="30" t="str">
        <f t="shared" ref="H5:H24" si="1">IF(G5&lt;&gt;"",G5,F5)</f>
        <v>Tier 1</v>
      </c>
      <c r="I5" s="30" t="str">
        <f t="shared" ref="I5:I24" si="2">IF(H5="","",IF(H5="Tier 1","Enhanced assessment + evidence validation",IF(H5="Tier 2","Standard security assessment","Basic screening")))</f>
        <v>Enhanced assessment + evidence validation</v>
      </c>
      <c r="J5" s="30" t="str">
        <f t="shared" ref="J5:J24" si="3">IF(H5="","",IF(H5="Tier 1","Annual",IF(H5="Tier 2","Every 2 years","Every 3 years")))</f>
        <v>Annual</v>
      </c>
      <c r="K5" s="30" t="str">
        <f>IF('Vendor Inventory'!E5="","",'Vendor Inventory'!E5)</f>
        <v>Director of IT Infrastructure</v>
      </c>
      <c r="L5" s="29" t="s">
        <v>313</v>
      </c>
      <c r="M5" s="31" t="s">
        <v>314</v>
      </c>
    </row>
    <row r="6" spans="1:13" ht="67.05" customHeight="1">
      <c r="A6" s="25" t="s">
        <v>92</v>
      </c>
      <c r="B6" s="26" t="str">
        <f>IF('Vendor Inventory'!B6="","",'Vendor Inventory'!B6)</f>
        <v>ClearPay Workforce Solutions</v>
      </c>
      <c r="C6" s="27">
        <f>'Risk Assessment'!I6</f>
        <v>4.3499999999999996</v>
      </c>
      <c r="D6" s="28">
        <f>'Risk Assessment'!J6</f>
        <v>86.999999999999986</v>
      </c>
      <c r="E6" s="26" t="str">
        <f>IF('Risk Assessment'!K6="","",'Risk Assessment'!K6)</f>
        <v>Yes</v>
      </c>
      <c r="F6" s="26" t="str">
        <f t="shared" si="0"/>
        <v>Tier 1</v>
      </c>
      <c r="G6" s="29"/>
      <c r="H6" s="30" t="str">
        <f t="shared" si="1"/>
        <v>Tier 1</v>
      </c>
      <c r="I6" s="30" t="str">
        <f t="shared" si="2"/>
        <v>Enhanced assessment + evidence validation</v>
      </c>
      <c r="J6" s="30" t="str">
        <f t="shared" si="3"/>
        <v>Annual</v>
      </c>
      <c r="K6" s="30" t="str">
        <f>IF('Vendor Inventory'!E6="","",'Vendor Inventory'!E6)</f>
        <v>Payroll Manager or HR Director</v>
      </c>
      <c r="L6" s="29" t="s">
        <v>313</v>
      </c>
      <c r="M6" s="31" t="s">
        <v>315</v>
      </c>
    </row>
    <row r="7" spans="1:13" ht="67.05" customHeight="1">
      <c r="A7" s="25" t="s">
        <v>93</v>
      </c>
      <c r="B7" s="26" t="str">
        <f>IF('Vendor Inventory'!B7="","",'Vendor Inventory'!B7)</f>
        <v>VenueBridge Tickets</v>
      </c>
      <c r="C7" s="27">
        <f>'Risk Assessment'!I7</f>
        <v>4.3499999999999996</v>
      </c>
      <c r="D7" s="28">
        <f>'Risk Assessment'!J7</f>
        <v>86.999999999999986</v>
      </c>
      <c r="E7" s="26" t="str">
        <f>IF('Risk Assessment'!K7="","",'Risk Assessment'!K7)</f>
        <v>Yes</v>
      </c>
      <c r="F7" s="26" t="str">
        <f t="shared" si="0"/>
        <v>Tier 1</v>
      </c>
      <c r="G7" s="29"/>
      <c r="H7" s="30" t="str">
        <f t="shared" si="1"/>
        <v>Tier 1</v>
      </c>
      <c r="I7" s="30" t="str">
        <f t="shared" si="2"/>
        <v>Enhanced assessment + evidence validation</v>
      </c>
      <c r="J7" s="30" t="str">
        <f t="shared" si="3"/>
        <v>Annual</v>
      </c>
      <c r="K7" s="30" t="str">
        <f>IF('Vendor Inventory'!E7="","",'Vendor Inventory'!E7)</f>
        <v>Director of Ticketing Operations</v>
      </c>
      <c r="L7" s="29" t="s">
        <v>316</v>
      </c>
      <c r="M7" s="31" t="s">
        <v>317</v>
      </c>
    </row>
    <row r="8" spans="1:13" ht="67.05" customHeight="1">
      <c r="A8" s="25" t="s">
        <v>94</v>
      </c>
      <c r="B8" s="26" t="str">
        <f>IF('Vendor Inventory'!B8="","",'Vendor Inventory'!B8)</f>
        <v>Harrison, Cole &amp; Mercer LLP</v>
      </c>
      <c r="C8" s="27">
        <f>'Risk Assessment'!I8</f>
        <v>3.25</v>
      </c>
      <c r="D8" s="28">
        <f>'Risk Assessment'!J8</f>
        <v>65</v>
      </c>
      <c r="E8" s="26" t="str">
        <f>IF('Risk Assessment'!K8="","",'Risk Assessment'!K8)</f>
        <v>No</v>
      </c>
      <c r="F8" s="26" t="str">
        <f t="shared" si="0"/>
        <v>Tier 2</v>
      </c>
      <c r="G8" s="29"/>
      <c r="H8" s="30" t="str">
        <f t="shared" si="1"/>
        <v>Tier 2</v>
      </c>
      <c r="I8" s="30" t="str">
        <f t="shared" si="2"/>
        <v>Standard security assessment</v>
      </c>
      <c r="J8" s="30" t="str">
        <f t="shared" si="3"/>
        <v>Every 2 years</v>
      </c>
      <c r="K8" s="30" t="str">
        <f>IF('Vendor Inventory'!E8="","",'Vendor Inventory'!E8)</f>
        <v>General Counsel</v>
      </c>
      <c r="L8" s="29" t="s">
        <v>313</v>
      </c>
      <c r="M8" s="31" t="s">
        <v>318</v>
      </c>
    </row>
    <row r="9" spans="1:13" ht="67.05" customHeight="1">
      <c r="A9" s="25" t="s">
        <v>95</v>
      </c>
      <c r="B9" s="26" t="str">
        <f>IF('Vendor Inventory'!B9="","",'Vendor Inventory'!B9)</f>
        <v>Brightline Creative Group</v>
      </c>
      <c r="C9" s="27">
        <f>'Risk Assessment'!I9</f>
        <v>2.5500000000000003</v>
      </c>
      <c r="D9" s="28">
        <f>'Risk Assessment'!J9</f>
        <v>51</v>
      </c>
      <c r="E9" s="26" t="str">
        <f>IF('Risk Assessment'!K9="","",'Risk Assessment'!K9)</f>
        <v>No</v>
      </c>
      <c r="F9" s="26" t="str">
        <f t="shared" si="0"/>
        <v>Tier 2</v>
      </c>
      <c r="G9" s="29"/>
      <c r="H9" s="30" t="str">
        <f t="shared" si="1"/>
        <v>Tier 2</v>
      </c>
      <c r="I9" s="30" t="str">
        <f t="shared" si="2"/>
        <v>Standard security assessment</v>
      </c>
      <c r="J9" s="30" t="str">
        <f t="shared" si="3"/>
        <v>Every 2 years</v>
      </c>
      <c r="K9" s="30" t="str">
        <f>IF('Vendor Inventory'!E9="","",'Vendor Inventory'!E9)</f>
        <v>Marketing Director</v>
      </c>
      <c r="L9" s="29" t="s">
        <v>313</v>
      </c>
      <c r="M9" s="31" t="s">
        <v>319</v>
      </c>
    </row>
    <row r="10" spans="1:13" ht="67.05" customHeight="1">
      <c r="A10" s="25" t="s">
        <v>96</v>
      </c>
      <c r="B10" s="26" t="str">
        <f>IF('Vendor Inventory'!B10="","",'Vendor Inventory'!B10)</f>
        <v>MetroDesk Office Supply</v>
      </c>
      <c r="C10" s="27">
        <f>'Risk Assessment'!I10</f>
        <v>1.4000000000000001</v>
      </c>
      <c r="D10" s="28">
        <f>'Risk Assessment'!J10</f>
        <v>28.000000000000004</v>
      </c>
      <c r="E10" s="26" t="str">
        <f>IF('Risk Assessment'!K10="","",'Risk Assessment'!K10)</f>
        <v>No</v>
      </c>
      <c r="F10" s="26" t="str">
        <f t="shared" si="0"/>
        <v>Tier 3</v>
      </c>
      <c r="G10" s="29"/>
      <c r="H10" s="30" t="str">
        <f t="shared" si="1"/>
        <v>Tier 3</v>
      </c>
      <c r="I10" s="30" t="str">
        <f t="shared" si="2"/>
        <v>Basic screening</v>
      </c>
      <c r="J10" s="30" t="str">
        <f t="shared" si="3"/>
        <v>Every 3 years</v>
      </c>
      <c r="K10" s="30" t="str">
        <f>IF('Vendor Inventory'!E10="","",'Vendor Inventory'!E10)</f>
        <v>Procurement Manager</v>
      </c>
      <c r="L10" s="29" t="s">
        <v>313</v>
      </c>
      <c r="M10" s="31" t="s">
        <v>320</v>
      </c>
    </row>
    <row r="11" spans="1:13" ht="67.05" customHeight="1">
      <c r="A11" s="25" t="s">
        <v>97</v>
      </c>
      <c r="B11" s="26" t="str">
        <f>IF('Vendor Inventory'!B11="","",'Vendor Inventory'!B11)</f>
        <v>SentinelPeak Security</v>
      </c>
      <c r="C11" s="27">
        <f>'Risk Assessment'!I11</f>
        <v>4.55</v>
      </c>
      <c r="D11" s="28">
        <f>'Risk Assessment'!J11</f>
        <v>90.999999999999986</v>
      </c>
      <c r="E11" s="26" t="str">
        <f>IF('Risk Assessment'!K11="","",'Risk Assessment'!K11)</f>
        <v>Yes</v>
      </c>
      <c r="F11" s="26" t="str">
        <f t="shared" si="0"/>
        <v>Tier 1</v>
      </c>
      <c r="G11" s="29"/>
      <c r="H11" s="30" t="str">
        <f t="shared" si="1"/>
        <v>Tier 1</v>
      </c>
      <c r="I11" s="30" t="str">
        <f t="shared" si="2"/>
        <v>Enhanced assessment + evidence validation</v>
      </c>
      <c r="J11" s="30" t="str">
        <f t="shared" si="3"/>
        <v>Annual</v>
      </c>
      <c r="K11" s="30" t="str">
        <f>IF('Vendor Inventory'!E11="","",'Vendor Inventory'!E11)</f>
        <v>Chief Information Security Officer</v>
      </c>
      <c r="L11" s="29" t="s">
        <v>316</v>
      </c>
      <c r="M11" s="31" t="s">
        <v>321</v>
      </c>
    </row>
    <row r="12" spans="1:13" ht="67.05" customHeight="1">
      <c r="A12" s="25" t="s">
        <v>98</v>
      </c>
      <c r="B12" s="26" t="str">
        <f>IF('Vendor Inventory'!B12="","",'Vendor Inventory'!B12)</f>
        <v>CrowdFlow Access Systems</v>
      </c>
      <c r="C12" s="27">
        <f>'Risk Assessment'!I12</f>
        <v>4.4499999999999993</v>
      </c>
      <c r="D12" s="28">
        <f>'Risk Assessment'!J12</f>
        <v>88.999999999999986</v>
      </c>
      <c r="E12" s="26" t="str">
        <f>IF('Risk Assessment'!K12="","",'Risk Assessment'!K12)</f>
        <v>Yes</v>
      </c>
      <c r="F12" s="26" t="str">
        <f t="shared" si="0"/>
        <v>Tier 1</v>
      </c>
      <c r="G12" s="29"/>
      <c r="H12" s="30" t="str">
        <f t="shared" si="1"/>
        <v>Tier 1</v>
      </c>
      <c r="I12" s="30" t="str">
        <f t="shared" si="2"/>
        <v>Enhanced assessment + evidence validation</v>
      </c>
      <c r="J12" s="30" t="str">
        <f t="shared" si="3"/>
        <v>Annual</v>
      </c>
      <c r="K12" s="30" t="str">
        <f>IF('Vendor Inventory'!E12="","",'Vendor Inventory'!E12)</f>
        <v>Venue Operations Manager</v>
      </c>
      <c r="L12" s="29" t="s">
        <v>312</v>
      </c>
      <c r="M12" s="32" t="s">
        <v>322</v>
      </c>
    </row>
    <row r="13" spans="1:13" ht="67.05" customHeight="1">
      <c r="A13" s="25" t="s">
        <v>99</v>
      </c>
      <c r="B13" s="26" t="str">
        <f>IF('Vendor Inventory'!B13="","",'Vendor Inventory'!B13)</f>
        <v>HarborPoint Payment Solutions</v>
      </c>
      <c r="C13" s="27">
        <f>'Risk Assessment'!I13</f>
        <v>4.8</v>
      </c>
      <c r="D13" s="28">
        <f>'Risk Assessment'!J13</f>
        <v>96</v>
      </c>
      <c r="E13" s="26" t="str">
        <f>IF('Risk Assessment'!K13="","",'Risk Assessment'!K13)</f>
        <v>Yes</v>
      </c>
      <c r="F13" s="26" t="str">
        <f t="shared" si="0"/>
        <v>Tier 1</v>
      </c>
      <c r="G13" s="29"/>
      <c r="H13" s="30" t="str">
        <f t="shared" si="1"/>
        <v>Tier 1</v>
      </c>
      <c r="I13" s="30" t="str">
        <f t="shared" si="2"/>
        <v>Enhanced assessment + evidence validation</v>
      </c>
      <c r="J13" s="30" t="str">
        <f t="shared" si="3"/>
        <v>Annual</v>
      </c>
      <c r="K13" s="30" t="str">
        <f>IF('Vendor Inventory'!E13="","",'Vendor Inventory'!E13)</f>
        <v>Finance Director or Controller</v>
      </c>
      <c r="L13" s="29" t="s">
        <v>312</v>
      </c>
      <c r="M13" s="31" t="s">
        <v>323</v>
      </c>
    </row>
    <row r="14" spans="1:13" ht="67.05" customHeight="1">
      <c r="A14" s="25" t="s">
        <v>100</v>
      </c>
      <c r="B14" s="26" t="str">
        <f>IF('Vendor Inventory'!B14="","",'Vendor Inventory'!B14)</f>
        <v>StageLink Production Services</v>
      </c>
      <c r="C14" s="27">
        <f>'Risk Assessment'!I14</f>
        <v>3.0999999999999996</v>
      </c>
      <c r="D14" s="28">
        <f>'Risk Assessment'!J14</f>
        <v>61.999999999999986</v>
      </c>
      <c r="E14" s="26" t="str">
        <f>IF('Risk Assessment'!K14="","",'Risk Assessment'!K14)</f>
        <v>No</v>
      </c>
      <c r="F14" s="26" t="str">
        <f t="shared" si="0"/>
        <v>Tier 2</v>
      </c>
      <c r="G14" s="29"/>
      <c r="H14" s="30" t="str">
        <f t="shared" si="1"/>
        <v>Tier 2</v>
      </c>
      <c r="I14" s="30" t="str">
        <f t="shared" si="2"/>
        <v>Standard security assessment</v>
      </c>
      <c r="J14" s="30" t="str">
        <f t="shared" si="3"/>
        <v>Every 2 years</v>
      </c>
      <c r="K14" s="30" t="str">
        <f>IF('Vendor Inventory'!E14="","",'Vendor Inventory'!E14)</f>
        <v>Director of Event Production</v>
      </c>
      <c r="L14" s="29" t="s">
        <v>313</v>
      </c>
      <c r="M14" s="31" t="s">
        <v>324</v>
      </c>
    </row>
    <row r="15" spans="1:13" ht="67.05" customHeight="1">
      <c r="A15" s="25" t="s">
        <v>101</v>
      </c>
      <c r="B15" s="26" t="str">
        <f>IF('Vendor Inventory'!B15="","",'Vendor Inventory'!B15)</f>
        <v>IronGate Facility Management</v>
      </c>
      <c r="C15" s="27">
        <f>'Risk Assessment'!I15</f>
        <v>3.25</v>
      </c>
      <c r="D15" s="28">
        <f>'Risk Assessment'!J15</f>
        <v>65</v>
      </c>
      <c r="E15" s="26" t="str">
        <f>IF('Risk Assessment'!K15="","",'Risk Assessment'!K15)</f>
        <v>No</v>
      </c>
      <c r="F15" s="26" t="str">
        <f t="shared" si="0"/>
        <v>Tier 2</v>
      </c>
      <c r="G15" s="29"/>
      <c r="H15" s="30" t="str">
        <f t="shared" si="1"/>
        <v>Tier 2</v>
      </c>
      <c r="I15" s="30" t="str">
        <f t="shared" si="2"/>
        <v>Standard security assessment</v>
      </c>
      <c r="J15" s="30" t="str">
        <f t="shared" si="3"/>
        <v>Every 2 years</v>
      </c>
      <c r="K15" s="30" t="str">
        <f>IF('Vendor Inventory'!E15="","",'Vendor Inventory'!E15)</f>
        <v>Facilities Manager</v>
      </c>
      <c r="L15" s="29" t="s">
        <v>313</v>
      </c>
      <c r="M15" s="31" t="s">
        <v>325</v>
      </c>
    </row>
    <row r="16" spans="1:13" ht="67.05" customHeight="1">
      <c r="A16" s="25" t="s">
        <v>102</v>
      </c>
      <c r="B16" s="26" t="str">
        <f>IF('Vendor Inventory'!B16="","",'Vendor Inventory'!B16)</f>
        <v>SafeGuard Event Staffing</v>
      </c>
      <c r="C16" s="27">
        <f>'Risk Assessment'!I16</f>
        <v>3.95</v>
      </c>
      <c r="D16" s="28">
        <f>'Risk Assessment'!J16</f>
        <v>79</v>
      </c>
      <c r="E16" s="26" t="str">
        <f>IF('Risk Assessment'!K16="","",'Risk Assessment'!K16)</f>
        <v>Yes</v>
      </c>
      <c r="F16" s="26" t="str">
        <f t="shared" si="0"/>
        <v>Tier 1</v>
      </c>
      <c r="G16" s="29"/>
      <c r="H16" s="30" t="str">
        <f t="shared" si="1"/>
        <v>Tier 1</v>
      </c>
      <c r="I16" s="30" t="str">
        <f t="shared" si="2"/>
        <v>Enhanced assessment + evidence validation</v>
      </c>
      <c r="J16" s="30" t="str">
        <f t="shared" si="3"/>
        <v>Annual</v>
      </c>
      <c r="K16" s="30" t="str">
        <f>IF('Vendor Inventory'!E16="","",'Vendor Inventory'!E16)</f>
        <v>Director of Venue Security</v>
      </c>
      <c r="L16" s="29" t="s">
        <v>313</v>
      </c>
      <c r="M16" s="31" t="s">
        <v>326</v>
      </c>
    </row>
    <row r="17" spans="1:13" ht="67.05" customHeight="1">
      <c r="A17" s="25" t="s">
        <v>103</v>
      </c>
      <c r="B17" s="26" t="str">
        <f>IF('Vendor Inventory'!B17="","",'Vendor Inventory'!B17)</f>
        <v>FreshTable Hospitality Group</v>
      </c>
      <c r="C17" s="27">
        <f>'Risk Assessment'!I17</f>
        <v>3.1500000000000004</v>
      </c>
      <c r="D17" s="28">
        <f>'Risk Assessment'!J17</f>
        <v>63.000000000000014</v>
      </c>
      <c r="E17" s="26" t="str">
        <f>IF('Risk Assessment'!K17="","",'Risk Assessment'!K17)</f>
        <v>No</v>
      </c>
      <c r="F17" s="26" t="str">
        <f t="shared" si="0"/>
        <v>Tier 2</v>
      </c>
      <c r="G17" s="29"/>
      <c r="H17" s="30" t="str">
        <f t="shared" si="1"/>
        <v>Tier 2</v>
      </c>
      <c r="I17" s="30" t="str">
        <f t="shared" si="2"/>
        <v>Standard security assessment</v>
      </c>
      <c r="J17" s="30" t="str">
        <f t="shared" si="3"/>
        <v>Every 2 years</v>
      </c>
      <c r="K17" s="30" t="str">
        <f>IF('Vendor Inventory'!E17="","",'Vendor Inventory'!E17)</f>
        <v>Food and Beverage Director</v>
      </c>
      <c r="L17" s="29" t="s">
        <v>316</v>
      </c>
      <c r="M17" s="31" t="s">
        <v>328</v>
      </c>
    </row>
    <row r="18" spans="1:13" ht="67.05" customHeight="1">
      <c r="A18" s="25" t="s">
        <v>104</v>
      </c>
      <c r="B18" s="26" t="str">
        <f>IF('Vendor Inventory'!B18="","",'Vendor Inventory'!B18)</f>
        <v>RapidRoute Transportation</v>
      </c>
      <c r="C18" s="27">
        <f>'Risk Assessment'!I18</f>
        <v>2.6500000000000004</v>
      </c>
      <c r="D18" s="28">
        <f>'Risk Assessment'!J18</f>
        <v>53</v>
      </c>
      <c r="E18" s="26" t="str">
        <f>IF('Risk Assessment'!K18="","",'Risk Assessment'!K18)</f>
        <v>No</v>
      </c>
      <c r="F18" s="26" t="str">
        <f t="shared" si="0"/>
        <v>Tier 2</v>
      </c>
      <c r="G18" s="29"/>
      <c r="H18" s="30" t="str">
        <f t="shared" si="1"/>
        <v>Tier 2</v>
      </c>
      <c r="I18" s="30" t="str">
        <f t="shared" si="2"/>
        <v>Standard security assessment</v>
      </c>
      <c r="J18" s="30" t="str">
        <f t="shared" si="3"/>
        <v>Every 2 years</v>
      </c>
      <c r="K18" s="30" t="str">
        <f>IF('Vendor Inventory'!E18="","",'Vendor Inventory'!E18)</f>
        <v>Logistics Manager</v>
      </c>
      <c r="L18" s="29" t="s">
        <v>327</v>
      </c>
      <c r="M18" s="31" t="s">
        <v>329</v>
      </c>
    </row>
    <row r="19" spans="1:13" ht="67.05" customHeight="1">
      <c r="A19" s="25" t="s">
        <v>105</v>
      </c>
      <c r="B19" s="26" t="str">
        <f>IF('Vendor Inventory'!B19="","",'Vendor Inventory'!B19)</f>
        <v>EverSafe Insurance Partners</v>
      </c>
      <c r="C19" s="27">
        <f>'Risk Assessment'!I19</f>
        <v>3.45</v>
      </c>
      <c r="D19" s="28">
        <f>'Risk Assessment'!J19</f>
        <v>69</v>
      </c>
      <c r="E19" s="26" t="str">
        <f>IF('Risk Assessment'!K19="","",'Risk Assessment'!K19)</f>
        <v>No</v>
      </c>
      <c r="F19" s="26" t="str">
        <f t="shared" si="0"/>
        <v>Tier 2</v>
      </c>
      <c r="G19" s="29"/>
      <c r="H19" s="30" t="str">
        <f t="shared" si="1"/>
        <v>Tier 2</v>
      </c>
      <c r="I19" s="30" t="str">
        <f t="shared" si="2"/>
        <v>Standard security assessment</v>
      </c>
      <c r="J19" s="30" t="str">
        <f t="shared" si="3"/>
        <v>Every 2 years</v>
      </c>
      <c r="K19" s="30" t="str">
        <f>IF('Vendor Inventory'!E19="","",'Vendor Inventory'!E19)</f>
        <v>Chief Financial Officer or Risk Manager</v>
      </c>
      <c r="L19" s="29" t="s">
        <v>313</v>
      </c>
      <c r="M19" s="31" t="s">
        <v>330</v>
      </c>
    </row>
    <row r="20" spans="1:13" ht="67.05" customHeight="1">
      <c r="A20" s="25" t="s">
        <v>106</v>
      </c>
      <c r="B20" s="26" t="str">
        <f>IF('Vendor Inventory'!B20="","",'Vendor Inventory'!B20)</f>
        <v>DataPulse Analytics</v>
      </c>
      <c r="C20" s="27">
        <f>'Risk Assessment'!I20</f>
        <v>3.5500000000000003</v>
      </c>
      <c r="D20" s="28">
        <f>'Risk Assessment'!J20</f>
        <v>71.000000000000014</v>
      </c>
      <c r="E20" s="26" t="str">
        <f>IF('Risk Assessment'!K20="","",'Risk Assessment'!K20)</f>
        <v>No</v>
      </c>
      <c r="F20" s="26" t="str">
        <f t="shared" si="0"/>
        <v>Tier 2</v>
      </c>
      <c r="G20" s="29" t="s">
        <v>32</v>
      </c>
      <c r="H20" s="30" t="str">
        <f t="shared" si="1"/>
        <v>Tier 1</v>
      </c>
      <c r="I20" s="30" t="str">
        <f t="shared" si="2"/>
        <v>Enhanced assessment + evidence validation</v>
      </c>
      <c r="J20" s="30" t="str">
        <f t="shared" si="3"/>
        <v>Annual</v>
      </c>
      <c r="K20" s="30" t="str">
        <f>IF('Vendor Inventory'!E20="","",'Vendor Inventory'!E20)</f>
        <v>Marketing Analytics Manager</v>
      </c>
      <c r="L20" s="29" t="s">
        <v>312</v>
      </c>
      <c r="M20" s="51" t="s">
        <v>331</v>
      </c>
    </row>
    <row r="21" spans="1:13" ht="67.05" customHeight="1">
      <c r="A21" s="25" t="s">
        <v>107</v>
      </c>
      <c r="B21" s="26" t="str">
        <f>IF('Vendor Inventory'!B21="","",'Vendor Inventory'!B21)</f>
        <v/>
      </c>
      <c r="C21" s="27" t="str">
        <f>'Risk Assessment'!I21</f>
        <v/>
      </c>
      <c r="D21" s="28" t="str">
        <f>'Risk Assessment'!J21</f>
        <v/>
      </c>
      <c r="E21" s="26" t="str">
        <f>IF('Risk Assessment'!K21="","",'Risk Assessment'!K21)</f>
        <v/>
      </c>
      <c r="F21" s="26" t="str">
        <f t="shared" si="0"/>
        <v/>
      </c>
      <c r="G21" s="29"/>
      <c r="H21" s="30" t="str">
        <f t="shared" si="1"/>
        <v/>
      </c>
      <c r="I21" s="30" t="str">
        <f t="shared" si="2"/>
        <v/>
      </c>
      <c r="J21" s="30" t="str">
        <f t="shared" si="3"/>
        <v/>
      </c>
      <c r="K21" s="30" t="str">
        <f>IF('Vendor Inventory'!D21="","",'Vendor Inventory'!D21)</f>
        <v/>
      </c>
      <c r="L21" s="29"/>
      <c r="M21" s="31"/>
    </row>
    <row r="22" spans="1:13" ht="67.05" customHeight="1">
      <c r="A22" s="25" t="s">
        <v>108</v>
      </c>
      <c r="B22" s="26" t="str">
        <f>IF('Vendor Inventory'!B22="","",'Vendor Inventory'!B22)</f>
        <v/>
      </c>
      <c r="C22" s="27" t="str">
        <f>'Risk Assessment'!I22</f>
        <v/>
      </c>
      <c r="D22" s="28" t="str">
        <f>'Risk Assessment'!J22</f>
        <v/>
      </c>
      <c r="E22" s="26" t="str">
        <f>IF('Risk Assessment'!K22="","",'Risk Assessment'!K22)</f>
        <v/>
      </c>
      <c r="F22" s="26" t="str">
        <f t="shared" si="0"/>
        <v/>
      </c>
      <c r="G22" s="29"/>
      <c r="H22" s="30" t="str">
        <f t="shared" si="1"/>
        <v/>
      </c>
      <c r="I22" s="30" t="str">
        <f t="shared" si="2"/>
        <v/>
      </c>
      <c r="J22" s="30" t="str">
        <f t="shared" si="3"/>
        <v/>
      </c>
      <c r="K22" s="30" t="str">
        <f>IF('Vendor Inventory'!D22="","",'Vendor Inventory'!D22)</f>
        <v/>
      </c>
      <c r="L22" s="29"/>
      <c r="M22" s="31"/>
    </row>
    <row r="23" spans="1:13" ht="67.05" customHeight="1">
      <c r="A23" s="25" t="s">
        <v>109</v>
      </c>
      <c r="B23" s="26" t="str">
        <f>IF('Vendor Inventory'!B23="","",'Vendor Inventory'!B23)</f>
        <v/>
      </c>
      <c r="C23" s="27" t="str">
        <f>'Risk Assessment'!I23</f>
        <v/>
      </c>
      <c r="D23" s="28" t="str">
        <f>'Risk Assessment'!J23</f>
        <v/>
      </c>
      <c r="E23" s="26" t="str">
        <f>IF('Risk Assessment'!K23="","",'Risk Assessment'!K23)</f>
        <v/>
      </c>
      <c r="F23" s="26" t="str">
        <f t="shared" si="0"/>
        <v/>
      </c>
      <c r="G23" s="29"/>
      <c r="H23" s="30" t="str">
        <f t="shared" si="1"/>
        <v/>
      </c>
      <c r="I23" s="30" t="str">
        <f t="shared" si="2"/>
        <v/>
      </c>
      <c r="J23" s="30" t="str">
        <f t="shared" si="3"/>
        <v/>
      </c>
      <c r="K23" s="30" t="str">
        <f>IF('Vendor Inventory'!D23="","",'Vendor Inventory'!D23)</f>
        <v/>
      </c>
      <c r="L23" s="29"/>
      <c r="M23" s="31"/>
    </row>
    <row r="24" spans="1:13" ht="67.05" customHeight="1">
      <c r="A24" s="33" t="s">
        <v>110</v>
      </c>
      <c r="B24" s="34" t="str">
        <f>IF('Vendor Inventory'!B24="","",'Vendor Inventory'!B24)</f>
        <v/>
      </c>
      <c r="C24" s="35" t="str">
        <f>'Risk Assessment'!I24</f>
        <v/>
      </c>
      <c r="D24" s="36" t="str">
        <f>'Risk Assessment'!J24</f>
        <v/>
      </c>
      <c r="E24" s="34" t="str">
        <f>IF('Risk Assessment'!K24="","",'Risk Assessment'!K24)</f>
        <v/>
      </c>
      <c r="F24" s="34" t="str">
        <f t="shared" si="0"/>
        <v/>
      </c>
      <c r="G24" s="37"/>
      <c r="H24" s="38" t="str">
        <f t="shared" si="1"/>
        <v/>
      </c>
      <c r="I24" s="38" t="str">
        <f t="shared" si="2"/>
        <v/>
      </c>
      <c r="J24" s="38" t="str">
        <f t="shared" si="3"/>
        <v/>
      </c>
      <c r="K24" s="38" t="str">
        <f>IF('Vendor Inventory'!D24="","",'Vendor Inventory'!D24)</f>
        <v/>
      </c>
      <c r="L24" s="37"/>
      <c r="M24" s="39"/>
    </row>
    <row r="25" spans="1:13" ht="14.4" customHeight="1"/>
    <row r="26" spans="1:13" ht="14.4" customHeight="1"/>
    <row r="27" spans="1:13" ht="14.4" customHeight="1"/>
    <row r="28" spans="1:13" ht="14.4" customHeight="1"/>
    <row r="29" spans="1:13" ht="14.4" customHeight="1"/>
    <row r="30" spans="1:13" ht="14.4" customHeight="1"/>
  </sheetData>
  <mergeCells count="2">
    <mergeCell ref="A1:M2"/>
    <mergeCell ref="A3:M3"/>
  </mergeCells>
  <conditionalFormatting sqref="H5:H24">
    <cfRule type="expression" dxfId="15" priority="1">
      <formula>H5="Tier 1"</formula>
    </cfRule>
    <cfRule type="expression" dxfId="14" priority="2">
      <formula>H5="Tier 2"</formula>
    </cfRule>
    <cfRule type="expression" dxfId="13" priority="3">
      <formula>H5="Tier 3"</formula>
    </cfRule>
  </conditionalFormatting>
  <dataValidations count="1">
    <dataValidation type="list" sqref="L5:L24" xr:uid="{00000000-0002-0000-0400-000001000000}">
      <formula1>"Not Started,In Progress,Complete,Needs Escalation"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400-000000000000}">
          <x14:formula1>
            <xm:f>Lists!$F$2:$F$5</xm:f>
          </x14:formula1>
          <xm:sqref>G5:G24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0"/>
  <sheetViews>
    <sheetView topLeftCell="A14" workbookViewId="0">
      <selection activeCell="D5" sqref="D5:E10"/>
    </sheetView>
  </sheetViews>
  <sheetFormatPr defaultRowHeight="13.45"/>
  <cols>
    <col min="1" max="1" width="24" customWidth="1"/>
    <col min="2" max="2" width="42" customWidth="1"/>
    <col min="4" max="4" width="30" customWidth="1"/>
    <col min="5" max="5" width="16" customWidth="1"/>
  </cols>
  <sheetData>
    <row r="1" spans="1:10" ht="20.05" customHeight="1">
      <c r="A1" s="9" t="s">
        <v>134</v>
      </c>
      <c r="B1" s="9"/>
      <c r="C1" s="9"/>
      <c r="D1" s="9"/>
      <c r="E1" s="9"/>
      <c r="F1" s="9"/>
      <c r="G1" s="9"/>
      <c r="H1" s="9"/>
      <c r="I1" s="9"/>
      <c r="J1" s="9"/>
    </row>
    <row r="2" spans="1:10" ht="20.05" customHeight="1">
      <c r="A2" s="9"/>
      <c r="B2" s="9"/>
      <c r="C2" s="9"/>
      <c r="D2" s="9"/>
      <c r="E2" s="9"/>
      <c r="F2" s="9"/>
      <c r="G2" s="9"/>
      <c r="H2" s="9"/>
      <c r="I2" s="9"/>
      <c r="J2" s="9"/>
    </row>
    <row r="3" spans="1:10" ht="14.4" customHeight="1">
      <c r="A3" s="10" t="s">
        <v>135</v>
      </c>
      <c r="B3" s="10"/>
      <c r="C3" s="10"/>
      <c r="D3" s="10"/>
      <c r="E3" s="10"/>
      <c r="F3" s="10"/>
      <c r="G3" s="10"/>
      <c r="H3" s="10"/>
      <c r="I3" s="10"/>
      <c r="J3" s="10"/>
    </row>
    <row r="4" spans="1:10" ht="14.4" customHeight="1"/>
    <row r="5" spans="1:10" ht="14.4" customHeight="1">
      <c r="A5" s="7" t="s">
        <v>136</v>
      </c>
      <c r="B5" s="7" t="s">
        <v>137</v>
      </c>
      <c r="D5" s="7" t="s">
        <v>138</v>
      </c>
      <c r="E5" s="7" t="s">
        <v>139</v>
      </c>
    </row>
    <row r="6" spans="1:10" ht="14.4" customHeight="1">
      <c r="A6" s="12" t="s">
        <v>140</v>
      </c>
      <c r="B6" s="12">
        <f>COUNTIF('Vendor Inventory'!B5:B24,"&lt;&gt;")</f>
        <v>16</v>
      </c>
      <c r="D6" s="12" t="s">
        <v>141</v>
      </c>
      <c r="E6" s="12">
        <f>COUNTIF('Risk Assessment'!J5:J24,"")-COUNTIF('Vendor Inventory'!B5:B24,"")</f>
        <v>0</v>
      </c>
    </row>
    <row r="7" spans="1:10" ht="14.4" customHeight="1">
      <c r="A7" s="12" t="s">
        <v>32</v>
      </c>
      <c r="B7" s="12">
        <f>COUNTIF('Tiering Results'!H5:H24,"Tier 1")</f>
        <v>8</v>
      </c>
      <c r="D7" s="12" t="s">
        <v>142</v>
      </c>
      <c r="E7" s="12">
        <f>COUNTIF('Risk Assessment'!K5:K24,"Yes")</f>
        <v>7</v>
      </c>
    </row>
    <row r="8" spans="1:10" ht="14.4" customHeight="1">
      <c r="A8" s="12" t="s">
        <v>38</v>
      </c>
      <c r="B8" s="12">
        <f>COUNTIF('Tiering Results'!H5:H24,"Tier 2")</f>
        <v>7</v>
      </c>
      <c r="D8" s="12" t="s">
        <v>143</v>
      </c>
      <c r="E8" s="12">
        <f>COUNTIF('Risk Assessment'!D5:D24,5)</f>
        <v>5</v>
      </c>
    </row>
    <row r="9" spans="1:10" ht="14.4" customHeight="1">
      <c r="A9" s="12" t="s">
        <v>44</v>
      </c>
      <c r="B9" s="12">
        <f>COUNTIF('Tiering Results'!H5:H24,"Tier 3")</f>
        <v>1</v>
      </c>
      <c r="D9" s="12" t="s">
        <v>144</v>
      </c>
      <c r="E9" s="12">
        <f>COUNTIF('Risk Assessment'!E5:E24,"&gt;=4")</f>
        <v>7</v>
      </c>
    </row>
    <row r="10" spans="1:10" ht="14.4" customHeight="1">
      <c r="D10" s="12" t="s">
        <v>145</v>
      </c>
      <c r="E10" s="12">
        <f>COUNTIF('Risk Assessment'!H5:H24,5)</f>
        <v>6</v>
      </c>
    </row>
    <row r="11" spans="1:10" ht="14.4" customHeight="1"/>
    <row r="12" spans="1:10" ht="14.4" customHeight="1">
      <c r="A12" s="7" t="s">
        <v>26</v>
      </c>
      <c r="B12" s="7" t="s">
        <v>146</v>
      </c>
    </row>
    <row r="13" spans="1:10" ht="14.4" customHeight="1">
      <c r="A13" s="12" t="s">
        <v>32</v>
      </c>
      <c r="B13" s="12">
        <f>B7</f>
        <v>8</v>
      </c>
    </row>
    <row r="14" spans="1:10" ht="14.4" customHeight="1">
      <c r="A14" s="12" t="s">
        <v>38</v>
      </c>
      <c r="B14" s="12">
        <f>B8</f>
        <v>7</v>
      </c>
    </row>
    <row r="15" spans="1:10" ht="14.4" customHeight="1">
      <c r="A15" s="12" t="s">
        <v>44</v>
      </c>
      <c r="B15" s="12">
        <f>B9</f>
        <v>1</v>
      </c>
    </row>
    <row r="16" spans="1:10" ht="14.4" customHeight="1"/>
    <row r="17" spans="1:2" ht="14.4" customHeight="1"/>
    <row r="18" spans="1:2" ht="14.4" customHeight="1">
      <c r="A18" s="7" t="s">
        <v>147</v>
      </c>
      <c r="B18" s="7" t="s">
        <v>148</v>
      </c>
    </row>
    <row r="19" spans="1:2" ht="29.15" customHeight="1">
      <c r="A19" s="56" t="s">
        <v>32</v>
      </c>
      <c r="B19" s="56" t="s">
        <v>149</v>
      </c>
    </row>
    <row r="20" spans="1:2" ht="29.15" customHeight="1">
      <c r="A20" s="56" t="s">
        <v>38</v>
      </c>
      <c r="B20" s="56" t="s">
        <v>150</v>
      </c>
    </row>
    <row r="21" spans="1:2" ht="29.15" customHeight="1">
      <c r="A21" s="56" t="s">
        <v>44</v>
      </c>
      <c r="B21" s="56" t="s">
        <v>151</v>
      </c>
    </row>
    <row r="22" spans="1:2" ht="14.4" customHeight="1">
      <c r="A22" s="2"/>
      <c r="B22" s="2"/>
    </row>
    <row r="23" spans="1:2" ht="29.15" customHeight="1">
      <c r="A23" s="53" t="s">
        <v>152</v>
      </c>
      <c r="B23" s="52" t="s">
        <v>153</v>
      </c>
    </row>
    <row r="24" spans="1:2" ht="29.15" customHeight="1">
      <c r="A24" s="54" t="s">
        <v>154</v>
      </c>
      <c r="B24" s="55" t="s">
        <v>155</v>
      </c>
    </row>
    <row r="25" spans="1:2" ht="14.4" customHeight="1"/>
    <row r="26" spans="1:2" ht="14.4" customHeight="1"/>
    <row r="27" spans="1:2" ht="14.4" customHeight="1"/>
    <row r="28" spans="1:2" ht="14.4" customHeight="1"/>
    <row r="29" spans="1:2" ht="14.4" customHeight="1"/>
    <row r="30" spans="1:2" ht="14.4" customHeight="1"/>
  </sheetData>
  <mergeCells count="2">
    <mergeCell ref="A1:J2"/>
    <mergeCell ref="A3:J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zoomScale="80" zoomScaleNormal="80" workbookViewId="0">
      <selection activeCell="A20" sqref="A20:H24"/>
    </sheetView>
  </sheetViews>
  <sheetFormatPr defaultRowHeight="13.45"/>
  <cols>
    <col min="1" max="1" width="21.7265625" customWidth="1"/>
    <col min="2" max="2" width="46.54296875" customWidth="1"/>
    <col min="3" max="3" width="18" customWidth="1"/>
    <col min="4" max="4" width="36.08984375" customWidth="1"/>
    <col min="5" max="5" width="38.1796875" customWidth="1"/>
    <col min="6" max="7" width="18" customWidth="1"/>
    <col min="8" max="8" width="43.08984375" customWidth="1"/>
  </cols>
  <sheetData>
    <row r="1" spans="1:8" ht="20.05" customHeight="1">
      <c r="A1" s="9" t="s">
        <v>0</v>
      </c>
      <c r="B1" s="9"/>
      <c r="C1" s="9"/>
      <c r="D1" s="9"/>
      <c r="E1" s="9"/>
      <c r="F1" s="9"/>
      <c r="G1" s="9"/>
      <c r="H1" s="9"/>
    </row>
    <row r="2" spans="1:8" ht="20.05" customHeight="1">
      <c r="A2" s="9"/>
      <c r="B2" s="9"/>
      <c r="C2" s="9"/>
      <c r="D2" s="9"/>
      <c r="E2" s="9"/>
      <c r="F2" s="9"/>
      <c r="G2" s="9"/>
      <c r="H2" s="9"/>
    </row>
    <row r="3" spans="1:8" ht="14.4" customHeight="1">
      <c r="A3" s="10" t="s">
        <v>1</v>
      </c>
      <c r="B3" s="10"/>
      <c r="C3" s="10"/>
      <c r="D3" s="10"/>
      <c r="E3" s="10"/>
      <c r="F3" s="10"/>
      <c r="G3" s="10"/>
      <c r="H3" s="10"/>
    </row>
    <row r="4" spans="1:8" ht="14.4" customHeight="1"/>
    <row r="5" spans="1:8" ht="14.4" customHeight="1">
      <c r="A5" s="11" t="s">
        <v>2</v>
      </c>
      <c r="B5" s="11"/>
      <c r="C5" s="11"/>
      <c r="D5" s="11"/>
      <c r="E5" s="11"/>
      <c r="F5" s="11"/>
      <c r="G5" s="11"/>
      <c r="H5" s="11"/>
    </row>
    <row r="6" spans="1:8" ht="14.4" customHeight="1">
      <c r="A6" s="1" t="s">
        <v>3</v>
      </c>
      <c r="B6" s="62" t="s">
        <v>4</v>
      </c>
      <c r="D6" s="58" t="s">
        <v>5</v>
      </c>
      <c r="E6" s="58"/>
      <c r="F6" s="58"/>
      <c r="G6" s="58"/>
      <c r="H6" s="58"/>
    </row>
    <row r="7" spans="1:8" ht="29.55" customHeight="1">
      <c r="A7" s="60" t="s">
        <v>6</v>
      </c>
      <c r="B7" s="61">
        <f>COUNTIF('Vendor Inventory'!B5:B24,"&lt;&gt;")</f>
        <v>16</v>
      </c>
      <c r="D7" s="57" t="s">
        <v>332</v>
      </c>
      <c r="E7" s="57"/>
      <c r="F7" s="57"/>
      <c r="G7" s="57"/>
      <c r="H7" s="57"/>
    </row>
    <row r="8" spans="1:8" ht="14.4" customHeight="1">
      <c r="A8" s="59" t="s">
        <v>7</v>
      </c>
      <c r="B8" s="12">
        <f>COUNTIF('Tiering Results'!H5:H24,"Tier 1")</f>
        <v>8</v>
      </c>
      <c r="D8" s="57"/>
      <c r="E8" s="57"/>
      <c r="F8" s="57"/>
      <c r="G8" s="57"/>
      <c r="H8" s="57"/>
    </row>
    <row r="9" spans="1:8" ht="14.4" customHeight="1">
      <c r="A9" s="42" t="s">
        <v>8</v>
      </c>
      <c r="B9" s="12">
        <f>COUNTIF('Tiering Results'!H5:H24,"Tier 2")</f>
        <v>7</v>
      </c>
      <c r="D9" s="57"/>
      <c r="E9" s="57"/>
      <c r="F9" s="57"/>
      <c r="G9" s="57"/>
      <c r="H9" s="57"/>
    </row>
    <row r="10" spans="1:8" ht="51.05" customHeight="1">
      <c r="A10" s="42" t="s">
        <v>9</v>
      </c>
      <c r="B10" s="12">
        <f>COUNTIF('Tiering Results'!H5:H24,"Tier 3")</f>
        <v>1</v>
      </c>
      <c r="D10" s="57"/>
      <c r="E10" s="57"/>
      <c r="F10" s="57"/>
      <c r="G10" s="57"/>
      <c r="H10" s="57"/>
    </row>
    <row r="11" spans="1:8" ht="14.4" customHeight="1">
      <c r="A11" s="40"/>
      <c r="B11" s="40"/>
    </row>
    <row r="12" spans="1:8" ht="14.4" customHeight="1">
      <c r="A12" s="11" t="s">
        <v>10</v>
      </c>
      <c r="B12" s="11"/>
      <c r="C12" s="11"/>
      <c r="D12" s="11"/>
      <c r="E12" s="11"/>
      <c r="F12" s="11"/>
      <c r="G12" s="11"/>
      <c r="H12" s="11"/>
    </row>
    <row r="13" spans="1:8" ht="14.4" customHeight="1">
      <c r="A13" s="1" t="s">
        <v>11</v>
      </c>
      <c r="B13" s="1" t="s">
        <v>12</v>
      </c>
      <c r="C13" s="1" t="s">
        <v>13</v>
      </c>
      <c r="D13" s="1" t="s">
        <v>14</v>
      </c>
      <c r="E13" s="1" t="s">
        <v>15</v>
      </c>
      <c r="F13" s="1" t="s">
        <v>16</v>
      </c>
      <c r="G13" s="1" t="s">
        <v>17</v>
      </c>
      <c r="H13" s="1" t="s">
        <v>18</v>
      </c>
    </row>
    <row r="14" spans="1:8" s="17" customFormat="1" ht="52" customHeight="1">
      <c r="A14" s="12" t="s">
        <v>333</v>
      </c>
      <c r="B14" s="12" t="s">
        <v>337</v>
      </c>
      <c r="C14" s="18" t="s">
        <v>341</v>
      </c>
      <c r="D14" s="12" t="s">
        <v>352</v>
      </c>
      <c r="E14" s="14" t="s">
        <v>348</v>
      </c>
      <c r="F14" s="12" t="s">
        <v>344</v>
      </c>
      <c r="G14" s="20">
        <v>46295</v>
      </c>
      <c r="H14" s="12" t="s">
        <v>316</v>
      </c>
    </row>
    <row r="15" spans="1:8" s="17" customFormat="1" ht="52" customHeight="1">
      <c r="A15" s="12" t="s">
        <v>334</v>
      </c>
      <c r="B15" s="12" t="s">
        <v>338</v>
      </c>
      <c r="C15" s="14" t="s">
        <v>98</v>
      </c>
      <c r="D15" s="12" t="s">
        <v>353</v>
      </c>
      <c r="E15" s="18" t="s">
        <v>349</v>
      </c>
      <c r="F15" s="12" t="s">
        <v>345</v>
      </c>
      <c r="G15" s="63">
        <v>46265</v>
      </c>
      <c r="H15" s="12" t="s">
        <v>312</v>
      </c>
    </row>
    <row r="16" spans="1:8" s="17" customFormat="1" ht="52" customHeight="1">
      <c r="A16" s="12" t="s">
        <v>335</v>
      </c>
      <c r="B16" s="12" t="s">
        <v>339</v>
      </c>
      <c r="C16" s="12" t="s">
        <v>342</v>
      </c>
      <c r="D16" s="12" t="s">
        <v>354</v>
      </c>
      <c r="E16" s="14" t="s">
        <v>350</v>
      </c>
      <c r="F16" s="18" t="s">
        <v>346</v>
      </c>
      <c r="G16" s="21">
        <v>46356</v>
      </c>
      <c r="H16" s="12" t="s">
        <v>312</v>
      </c>
    </row>
    <row r="17" spans="1:8" s="17" customFormat="1" ht="52" customHeight="1">
      <c r="A17" s="12" t="s">
        <v>336</v>
      </c>
      <c r="B17" s="12" t="s">
        <v>340</v>
      </c>
      <c r="C17" s="12" t="s">
        <v>343</v>
      </c>
      <c r="D17" s="12" t="s">
        <v>355</v>
      </c>
      <c r="E17" s="12" t="s">
        <v>351</v>
      </c>
      <c r="F17" s="18" t="s">
        <v>347</v>
      </c>
      <c r="G17" s="21">
        <v>46265</v>
      </c>
      <c r="H17" s="12" t="s">
        <v>316</v>
      </c>
    </row>
    <row r="18" spans="1:8" ht="14.4" customHeight="1">
      <c r="G18" s="13"/>
    </row>
    <row r="19" spans="1:8" ht="14.4" customHeight="1">
      <c r="A19" s="11" t="s">
        <v>19</v>
      </c>
      <c r="B19" s="11"/>
      <c r="C19" s="11"/>
      <c r="D19" s="11"/>
      <c r="E19" s="11"/>
      <c r="F19" s="11"/>
      <c r="G19" s="11"/>
      <c r="H19" s="11"/>
    </row>
    <row r="20" spans="1:8" ht="17.2" customHeight="1">
      <c r="A20" s="64" t="s">
        <v>356</v>
      </c>
      <c r="B20" s="64"/>
      <c r="C20" s="64"/>
      <c r="D20" s="64"/>
      <c r="E20" s="64"/>
      <c r="F20" s="64"/>
      <c r="G20" s="64"/>
      <c r="H20" s="64"/>
    </row>
    <row r="21" spans="1:8" ht="16.149999999999999" customHeight="1">
      <c r="A21" s="64"/>
      <c r="B21" s="64"/>
      <c r="C21" s="64"/>
      <c r="D21" s="64"/>
      <c r="E21" s="64"/>
      <c r="F21" s="64"/>
      <c r="G21" s="64"/>
      <c r="H21" s="64"/>
    </row>
    <row r="22" spans="1:8" ht="14.4" customHeight="1">
      <c r="A22" s="64"/>
      <c r="B22" s="64"/>
      <c r="C22" s="64"/>
      <c r="D22" s="64"/>
      <c r="E22" s="64"/>
      <c r="F22" s="64"/>
      <c r="G22" s="64"/>
      <c r="H22" s="64"/>
    </row>
    <row r="23" spans="1:8" ht="14" customHeight="1">
      <c r="A23" s="64"/>
      <c r="B23" s="64"/>
      <c r="C23" s="64"/>
      <c r="D23" s="64"/>
      <c r="E23" s="64"/>
      <c r="F23" s="64"/>
      <c r="G23" s="64"/>
      <c r="H23" s="64"/>
    </row>
    <row r="24" spans="1:8" ht="30.65" customHeight="1">
      <c r="A24" s="64"/>
      <c r="B24" s="64"/>
      <c r="C24" s="64"/>
      <c r="D24" s="64"/>
      <c r="E24" s="64"/>
      <c r="F24" s="64"/>
      <c r="G24" s="64"/>
      <c r="H24" s="64"/>
    </row>
    <row r="25" spans="1:8" ht="14.4" customHeight="1"/>
    <row r="26" spans="1:8" ht="14.4" customHeight="1"/>
    <row r="27" spans="1:8" ht="14.4" customHeight="1"/>
    <row r="28" spans="1:8" ht="14.4" customHeight="1"/>
    <row r="29" spans="1:8" ht="14.4" customHeight="1"/>
    <row r="30" spans="1:8" ht="14.4" customHeight="1"/>
  </sheetData>
  <mergeCells count="8">
    <mergeCell ref="A12:H12"/>
    <mergeCell ref="A19:H19"/>
    <mergeCell ref="A20:H24"/>
    <mergeCell ref="A1:H2"/>
    <mergeCell ref="A3:H3"/>
    <mergeCell ref="A5:H5"/>
    <mergeCell ref="D6:H6"/>
    <mergeCell ref="D7: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Tiering Methodology</vt:lpstr>
      <vt:lpstr>Lists</vt:lpstr>
      <vt:lpstr>Vendor Inventory</vt:lpstr>
      <vt:lpstr>Risk Assessment</vt:lpstr>
      <vt:lpstr>Tiering Results</vt:lpstr>
      <vt:lpstr>Dashboard</vt:lpstr>
      <vt:lpstr>Executive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williams</cp:lastModifiedBy>
  <dcterms:created xsi:type="dcterms:W3CDTF">2026-07-17T00:36:42Z</dcterms:created>
  <dcterms:modified xsi:type="dcterms:W3CDTF">2026-07-17T00:36:42Z</dcterms:modified>
</cp:coreProperties>
</file>